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guyin\Projects\RookieNashtech\projectphase2\Rookie2Engineer\Rookie2Engineer\documents\sources\Source to target Mapping\"/>
    </mc:Choice>
  </mc:AlternateContent>
  <xr:revisionPtr revIDLastSave="0" documentId="13_ncr:1_{2C117D02-67F7-44F7-A67C-79C1DCBF0B08}" xr6:coauthVersionLast="47" xr6:coauthVersionMax="47" xr10:uidLastSave="{00000000-0000-0000-0000-000000000000}"/>
  <bookViews>
    <workbookView xWindow="-108" yWindow="-108" windowWidth="23256" windowHeight="13176" firstSheet="2" activeTab="9" xr2:uid="{00000000-000D-0000-FFFF-FFFF00000000}"/>
  </bookViews>
  <sheets>
    <sheet name="Overview" sheetId="1" r:id="rId1"/>
    <sheet name="customers" sheetId="2" r:id="rId2"/>
    <sheet name="agents" sheetId="3" r:id="rId3"/>
    <sheet name="providers" sheetId="4" r:id="rId4"/>
    <sheet name="vehicle" sheetId="5" r:id="rId5"/>
    <sheet name="quotation" sheetId="6" r:id="rId6"/>
    <sheet name="quotation_item" sheetId="7" r:id="rId7"/>
    <sheet name="policy" sheetId="8" r:id="rId8"/>
    <sheet name="cancellation" sheetId="9" r:id="rId9"/>
    <sheet name="payment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<sst xmlns="http://schemas.openxmlformats.org/spreadsheetml/2006/main" count="806" uniqueCount="122">
  <si>
    <t>No</t>
  </si>
  <si>
    <t>TableName</t>
  </si>
  <si>
    <t>customers</t>
  </si>
  <si>
    <t>agents</t>
  </si>
  <si>
    <t>providers</t>
  </si>
  <si>
    <t>vehicle</t>
  </si>
  <si>
    <t>quotation</t>
  </si>
  <si>
    <t>quotation_item</t>
  </si>
  <si>
    <t>policy</t>
  </si>
  <si>
    <t>cancellation</t>
  </si>
  <si>
    <t>payment</t>
  </si>
  <si>
    <t>Source system</t>
  </si>
  <si>
    <t>Source Schema</t>
  </si>
  <si>
    <t>Source Table</t>
  </si>
  <si>
    <t>Source Field</t>
  </si>
  <si>
    <t>Transformation Logic</t>
  </si>
  <si>
    <t>Destination System</t>
  </si>
  <si>
    <t>Destination Schema</t>
  </si>
  <si>
    <t>Destination Table Name</t>
  </si>
  <si>
    <t>Destination Column Name</t>
  </si>
  <si>
    <t>Data Type</t>
  </si>
  <si>
    <t>Note</t>
  </si>
  <si>
    <t>Fabric</t>
  </si>
  <si>
    <t>Bronze</t>
  </si>
  <si>
    <t>customer_id</t>
  </si>
  <si>
    <t>DIRECT MOVE</t>
  </si>
  <si>
    <t>Lakehouse</t>
  </si>
  <si>
    <t>Silver</t>
  </si>
  <si>
    <t>string</t>
  </si>
  <si>
    <t>not null + unique</t>
  </si>
  <si>
    <t>full_name</t>
  </si>
  <si>
    <t>gender</t>
  </si>
  <si>
    <t>dob</t>
  </si>
  <si>
    <t>to_date(dob, "yyyy-MM-dd")</t>
  </si>
  <si>
    <t>date</t>
  </si>
  <si>
    <t>dob &lt; current date</t>
  </si>
  <si>
    <t>phone_number</t>
  </si>
  <si>
    <t>max length = 20</t>
  </si>
  <si>
    <t>email</t>
  </si>
  <si>
    <t>Valid email format</t>
  </si>
  <si>
    <t>city</t>
  </si>
  <si>
    <t>district</t>
  </si>
  <si>
    <t>created_date</t>
  </si>
  <si>
    <t>to_timestamp(created_date, "yyyy-MM-dd HH:mm:ss")</t>
  </si>
  <si>
    <t>timestamp</t>
  </si>
  <si>
    <t>agent_id</t>
  </si>
  <si>
    <t>agent_name</t>
  </si>
  <si>
    <t>region</t>
  </si>
  <si>
    <t>branch</t>
  </si>
  <si>
    <t>manager_name</t>
  </si>
  <si>
    <t>insurance_providers</t>
  </si>
  <si>
    <t>provider_code</t>
  </si>
  <si>
    <t>provider_name</t>
  </si>
  <si>
    <t>provider_group</t>
  </si>
  <si>
    <t>active_flag</t>
  </si>
  <si>
    <t>int</t>
  </si>
  <si>
    <t>vehicle_id</t>
  </si>
  <si>
    <t>not null</t>
  </si>
  <si>
    <t>plate_number</t>
  </si>
  <si>
    <t>unique</t>
  </si>
  <si>
    <t>vehicle_brand</t>
  </si>
  <si>
    <t>vehicle_model</t>
  </si>
  <si>
    <t>manufacture_year</t>
  </si>
  <si>
    <t>manufacture year &lt; current year</t>
  </si>
  <si>
    <t>vehicle_value</t>
  </si>
  <si>
    <t>cast("decimal(18,2)")</t>
  </si>
  <si>
    <t>decimal(18,2)</t>
  </si>
  <si>
    <t>vehicle value &gt; 0</t>
  </si>
  <si>
    <t>quotation_id</t>
  </si>
  <si>
    <t>quotation_date</t>
  </si>
  <si>
    <t>to_timestamp(quotation_date)</t>
  </si>
  <si>
    <t>quotation date &lt;= current timestamp</t>
  </si>
  <si>
    <t>quotation_status</t>
  </si>
  <si>
    <t>Standardize (ACCEPTED, REJECTED, EXPIRED, QUOTED, CONVERTED)</t>
  </si>
  <si>
    <t>package_code</t>
  </si>
  <si>
    <t>Standardize (STANDARD, PREMIUM, VIP, BASIC)</t>
  </si>
  <si>
    <t>premium_amount</t>
  </si>
  <si>
    <t>premium amount &gt; 0</t>
  </si>
  <si>
    <t>quotation_expiry_date</t>
  </si>
  <si>
    <t>to_timestamp(quotation_expiry_date)</t>
  </si>
  <si>
    <t>quotation expiry date &gt; quotation date</t>
  </si>
  <si>
    <t>quotation_item_id</t>
  </si>
  <si>
    <t>coverage_type</t>
  </si>
  <si>
    <t>coverage_amount</t>
  </si>
  <si>
    <t>coverage amount &gt; 0</t>
  </si>
  <si>
    <t>deductible_amount</t>
  </si>
  <si>
    <t>deductible amount &gt; 0</t>
  </si>
  <si>
    <t>policy_id</t>
  </si>
  <si>
    <t>policy_number</t>
  </si>
  <si>
    <t>policy_start_date</t>
  </si>
  <si>
    <t>to_date(policy_start_date)</t>
  </si>
  <si>
    <t>policy_end_date</t>
  </si>
  <si>
    <t>to_date(policy_end_date)</t>
  </si>
  <si>
    <t>policy end date &gt; policy start date</t>
  </si>
  <si>
    <t>policy_status</t>
  </si>
  <si>
    <t>standardize (EXPIRED, CANCELLED, ISSUED, ACTIVE)</t>
  </si>
  <si>
    <t>issued_date</t>
  </si>
  <si>
    <t>to_timestamp(issued_date)</t>
  </si>
  <si>
    <t>issued date &lt;= policy start date</t>
  </si>
  <si>
    <t>last_updated</t>
  </si>
  <si>
    <t>to_timestamp(last_updated)</t>
  </si>
  <si>
    <t>cancellation_id</t>
  </si>
  <si>
    <t>cancellation_date</t>
  </si>
  <si>
    <t>to_timestamp(cancellation_date)</t>
  </si>
  <si>
    <t>cancellation_date &lt;= current date</t>
  </si>
  <si>
    <t>cancellation_reason</t>
  </si>
  <si>
    <t>initcap(trim(cancellation_reason))</t>
  </si>
  <si>
    <t>not null, standardize (Customer Request, ...)</t>
  </si>
  <si>
    <t>refund_amount</t>
  </si>
  <si>
    <t>refund amount &gt;= 0</t>
  </si>
  <si>
    <t>payment_id</t>
  </si>
  <si>
    <t>payment_date</t>
  </si>
  <si>
    <t>to_timestamp(payment_date)</t>
  </si>
  <si>
    <t>payment date &lt; current date</t>
  </si>
  <si>
    <t>payment_method</t>
  </si>
  <si>
    <t>standardize (E-wallet, Bank Transfer, Credit Card)</t>
  </si>
  <si>
    <t>payment_status</t>
  </si>
  <si>
    <t>standardize (FAILED, PENDING, REFUNDED, PAID)</t>
  </si>
  <si>
    <t>payment_amount</t>
  </si>
  <si>
    <t>decimal (18,2)</t>
  </si>
  <si>
    <t>payment amount &gt; 0</t>
  </si>
  <si>
    <t>transaction_reference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</si>
</sst>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1"/>
      <color theme="1"/>
      <name val="Nunito"/>
    </font>
    <font>
      <sz val="11"/>
      <color theme="1"/>
      <name val="Nunito"/>
    </font>
    <font>
      <u/>
      <sz val="11"/>
      <color rgb="FF434343"/>
      <name val="Nunito"/>
    </font>
    <font>
      <b/>
      <sz val="10"/>
      <color rgb="FFFFFFFF"/>
      <name val="Calibri"/>
    </font>
    <font>
      <sz val="10"/>
      <color theme="1"/>
      <name val="Arial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Overview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verview" displayName="Overview" ref="A1:B10">
  <tableColumns count="2">
    <tableColumn id="1" xr3:uid="{00000000-0010-0000-0000-000001000000}" name="No"/>
    <tableColumn id="2" xr3:uid="{00000000-0010-0000-0000-000002000000}" name="TableName"/>
  </tableColumns>
  <tableStyleInfo name="Overview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2" max="2" width="36.88671875" customWidth="1"/>
  </cols>
  <sheetData>
    <row r="1" spans="1:26" ht="22.5" customHeight="1" x14ac:dyDescent="0.25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5" customHeight="1" x14ac:dyDescent="0.25">
      <c r="A2" s="3">
        <f t="shared" ref="A2:A10" si="0">ROW() -1</f>
        <v>1</v>
      </c>
      <c r="B2" s="4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2.5" customHeight="1" x14ac:dyDescent="0.25">
      <c r="A3" s="3">
        <f t="shared" si="0"/>
        <v>2</v>
      </c>
      <c r="B3" s="4" t="s">
        <v>3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2.5" customHeight="1" x14ac:dyDescent="0.25">
      <c r="A4" s="3">
        <f t="shared" si="0"/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2.5" customHeight="1" x14ac:dyDescent="0.25">
      <c r="A5" s="3">
        <f t="shared" si="0"/>
        <v>4</v>
      </c>
      <c r="B5" s="4" t="s">
        <v>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2.5" customHeight="1" x14ac:dyDescent="0.25">
      <c r="A6" s="3">
        <f t="shared" si="0"/>
        <v>5</v>
      </c>
      <c r="B6" s="4" t="s">
        <v>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.5" customHeight="1" x14ac:dyDescent="0.25">
      <c r="A7" s="3">
        <f t="shared" si="0"/>
        <v>6</v>
      </c>
      <c r="B7" s="4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2.5" customHeight="1" x14ac:dyDescent="0.25">
      <c r="A8" s="3">
        <f t="shared" si="0"/>
        <v>7</v>
      </c>
      <c r="B8" s="4" t="s">
        <v>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2.5" customHeight="1" x14ac:dyDescent="0.25">
      <c r="A9" s="3">
        <f t="shared" si="0"/>
        <v>8</v>
      </c>
      <c r="B9" s="4" t="s">
        <v>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.5" customHeight="1" x14ac:dyDescent="0.25">
      <c r="A10" s="3">
        <f t="shared" si="0"/>
        <v>9</v>
      </c>
      <c r="B10" s="4" t="s">
        <v>10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6" x14ac:dyDescent="0.25">
      <c r="A11" s="3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6" x14ac:dyDescent="0.25">
      <c r="A12" s="3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6" x14ac:dyDescent="0.25">
      <c r="A13" s="3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6" x14ac:dyDescent="0.25">
      <c r="A14" s="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6" x14ac:dyDescent="0.25">
      <c r="A15" s="3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6" x14ac:dyDescent="0.25">
      <c r="A16" s="3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6" x14ac:dyDescent="0.25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6" x14ac:dyDescent="0.25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6" x14ac:dyDescent="0.25">
      <c r="A19" s="3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6" x14ac:dyDescent="0.25">
      <c r="A20" s="3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6" x14ac:dyDescent="0.25">
      <c r="A21" s="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6" x14ac:dyDescent="0.25">
      <c r="A22" s="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6" x14ac:dyDescent="0.25">
      <c r="A23" s="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6" x14ac:dyDescent="0.25">
      <c r="A24" s="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6" x14ac:dyDescent="0.25">
      <c r="A25" s="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6" x14ac:dyDescent="0.25">
      <c r="A26" s="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6" x14ac:dyDescent="0.25">
      <c r="A27" s="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6" x14ac:dyDescent="0.25">
      <c r="A28" s="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6" x14ac:dyDescent="0.25">
      <c r="A29" s="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6" x14ac:dyDescent="0.25">
      <c r="A30" s="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6" x14ac:dyDescent="0.25">
      <c r="A31" s="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6" x14ac:dyDescent="0.25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6" x14ac:dyDescent="0.25">
      <c r="A33" s="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6" x14ac:dyDescent="0.25">
      <c r="A34" s="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6" x14ac:dyDescent="0.25">
      <c r="A35" s="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6" x14ac:dyDescent="0.25">
      <c r="A36" s="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6" x14ac:dyDescent="0.25">
      <c r="A37" s="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6" x14ac:dyDescent="0.25">
      <c r="A38" s="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6" x14ac:dyDescent="0.25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6" x14ac:dyDescent="0.25">
      <c r="A40" s="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6" x14ac:dyDescent="0.25">
      <c r="A41" s="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6" x14ac:dyDescent="0.25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6" x14ac:dyDescent="0.25">
      <c r="A43" s="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6" x14ac:dyDescent="0.25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6" x14ac:dyDescent="0.25">
      <c r="A45" s="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6" x14ac:dyDescent="0.25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6" x14ac:dyDescent="0.25">
      <c r="A47" s="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6" x14ac:dyDescent="0.25">
      <c r="A48" s="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6" x14ac:dyDescent="0.25">
      <c r="A49" s="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6" x14ac:dyDescent="0.25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6" x14ac:dyDescent="0.25">
      <c r="A51" s="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6" x14ac:dyDescent="0.25">
      <c r="A52" s="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6" x14ac:dyDescent="0.25">
      <c r="A53" s="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6" x14ac:dyDescent="0.25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6" x14ac:dyDescent="0.25">
      <c r="A55" s="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6" x14ac:dyDescent="0.25">
      <c r="A56" s="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6" x14ac:dyDescent="0.25">
      <c r="A57" s="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6" x14ac:dyDescent="0.25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6" x14ac:dyDescent="0.25">
      <c r="A59" s="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6" x14ac:dyDescent="0.25">
      <c r="A60" s="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6" x14ac:dyDescent="0.25">
      <c r="A61" s="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6" x14ac:dyDescent="0.25">
      <c r="A62" s="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6" x14ac:dyDescent="0.25">
      <c r="A63" s="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6" x14ac:dyDescent="0.25">
      <c r="A64" s="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6" x14ac:dyDescent="0.25">
      <c r="A65" s="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6" x14ac:dyDescent="0.25">
      <c r="A66" s="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6" x14ac:dyDescent="0.25">
      <c r="A67" s="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6" x14ac:dyDescent="0.25">
      <c r="A68" s="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6" x14ac:dyDescent="0.25">
      <c r="A69" s="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6" x14ac:dyDescent="0.25">
      <c r="A70" s="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6" x14ac:dyDescent="0.25">
      <c r="A71" s="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6" x14ac:dyDescent="0.25">
      <c r="A72" s="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6" x14ac:dyDescent="0.25">
      <c r="A73" s="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6" x14ac:dyDescent="0.25">
      <c r="A74" s="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6" x14ac:dyDescent="0.25">
      <c r="A75" s="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6" x14ac:dyDescent="0.25">
      <c r="A76" s="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6" x14ac:dyDescent="0.25">
      <c r="A77" s="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6" x14ac:dyDescent="0.25">
      <c r="A78" s="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6" x14ac:dyDescent="0.25">
      <c r="A79" s="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6" x14ac:dyDescent="0.25">
      <c r="A80" s="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6" x14ac:dyDescent="0.25">
      <c r="A81" s="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6" x14ac:dyDescent="0.25">
      <c r="A82" s="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6" x14ac:dyDescent="0.25">
      <c r="A83" s="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6" x14ac:dyDescent="0.25">
      <c r="A84" s="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6" x14ac:dyDescent="0.25">
      <c r="A85" s="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6" x14ac:dyDescent="0.25">
      <c r="A86" s="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6" x14ac:dyDescent="0.25">
      <c r="A87" s="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6" x14ac:dyDescent="0.25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6" x14ac:dyDescent="0.25">
      <c r="A89" s="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6" x14ac:dyDescent="0.25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6" x14ac:dyDescent="0.25">
      <c r="A91" s="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6" x14ac:dyDescent="0.25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6" x14ac:dyDescent="0.25">
      <c r="A93" s="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6" x14ac:dyDescent="0.25">
      <c r="A94" s="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6" x14ac:dyDescent="0.25">
      <c r="A95" s="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6" x14ac:dyDescent="0.25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6" x14ac:dyDescent="0.25">
      <c r="A97" s="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6" x14ac:dyDescent="0.25">
      <c r="A98" s="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6" x14ac:dyDescent="0.25">
      <c r="A99" s="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6" x14ac:dyDescent="0.25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6" x14ac:dyDescent="0.25">
      <c r="A101" s="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6" x14ac:dyDescent="0.25">
      <c r="A102" s="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6" x14ac:dyDescent="0.25">
      <c r="A103" s="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6" x14ac:dyDescent="0.25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6" x14ac:dyDescent="0.25">
      <c r="A105" s="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6" x14ac:dyDescent="0.25">
      <c r="A106" s="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6" x14ac:dyDescent="0.25">
      <c r="A107" s="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6" x14ac:dyDescent="0.25">
      <c r="A108" s="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6" x14ac:dyDescent="0.25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6" x14ac:dyDescent="0.25">
      <c r="A110" s="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6" x14ac:dyDescent="0.25">
      <c r="A111" s="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6" x14ac:dyDescent="0.25">
      <c r="A112" s="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6" x14ac:dyDescent="0.25">
      <c r="A113" s="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6" x14ac:dyDescent="0.25">
      <c r="A114" s="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6" x14ac:dyDescent="0.25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6" x14ac:dyDescent="0.25">
      <c r="A116" s="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6" x14ac:dyDescent="0.25">
      <c r="A117" s="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6" x14ac:dyDescent="0.25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6" x14ac:dyDescent="0.25">
      <c r="A119" s="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6" x14ac:dyDescent="0.25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6" x14ac:dyDescent="0.25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6" x14ac:dyDescent="0.25">
      <c r="A122" s="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6" x14ac:dyDescent="0.25">
      <c r="A123" s="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6" x14ac:dyDescent="0.25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6" x14ac:dyDescent="0.25">
      <c r="A125" s="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6" x14ac:dyDescent="0.25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6" x14ac:dyDescent="0.25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6" x14ac:dyDescent="0.25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6" x14ac:dyDescent="0.25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6" x14ac:dyDescent="0.25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6" x14ac:dyDescent="0.25">
      <c r="A131" s="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6" x14ac:dyDescent="0.25">
      <c r="A132" s="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6" x14ac:dyDescent="0.25">
      <c r="A133" s="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6" x14ac:dyDescent="0.25">
      <c r="A134" s="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6" x14ac:dyDescent="0.25">
      <c r="A135" s="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6" x14ac:dyDescent="0.25">
      <c r="A136" s="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6" x14ac:dyDescent="0.25">
      <c r="A137" s="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6" x14ac:dyDescent="0.25">
      <c r="A138" s="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6" x14ac:dyDescent="0.25">
      <c r="A139" s="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6" x14ac:dyDescent="0.25">
      <c r="A140" s="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6" x14ac:dyDescent="0.25">
      <c r="A141" s="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6" x14ac:dyDescent="0.25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6" x14ac:dyDescent="0.25">
      <c r="A143" s="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6" x14ac:dyDescent="0.25">
      <c r="A144" s="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6" x14ac:dyDescent="0.25">
      <c r="A145" s="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6" x14ac:dyDescent="0.25">
      <c r="A146" s="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6" x14ac:dyDescent="0.25">
      <c r="A147" s="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6" x14ac:dyDescent="0.25">
      <c r="A148" s="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6" x14ac:dyDescent="0.25">
      <c r="A149" s="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6" x14ac:dyDescent="0.25">
      <c r="A150" s="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6" x14ac:dyDescent="0.25">
      <c r="A151" s="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6" x14ac:dyDescent="0.25">
      <c r="A152" s="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6" x14ac:dyDescent="0.25">
      <c r="A153" s="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6" x14ac:dyDescent="0.25">
      <c r="A154" s="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6" x14ac:dyDescent="0.25">
      <c r="A155" s="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6" x14ac:dyDescent="0.25">
      <c r="A156" s="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6" x14ac:dyDescent="0.25">
      <c r="A157" s="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6" x14ac:dyDescent="0.25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6" x14ac:dyDescent="0.25">
      <c r="A159" s="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6" x14ac:dyDescent="0.25">
      <c r="A160" s="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6" x14ac:dyDescent="0.25">
      <c r="A161" s="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6" x14ac:dyDescent="0.25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6" x14ac:dyDescent="0.25">
      <c r="A163" s="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6" x14ac:dyDescent="0.25">
      <c r="A164" s="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6" x14ac:dyDescent="0.25">
      <c r="A165" s="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6" x14ac:dyDescent="0.25">
      <c r="A166" s="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6" x14ac:dyDescent="0.25">
      <c r="A167" s="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6" x14ac:dyDescent="0.25">
      <c r="A168" s="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6" x14ac:dyDescent="0.25">
      <c r="A169" s="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6" x14ac:dyDescent="0.25">
      <c r="A170" s="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6" x14ac:dyDescent="0.25">
      <c r="A171" s="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6" x14ac:dyDescent="0.25">
      <c r="A172" s="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6" x14ac:dyDescent="0.25">
      <c r="A173" s="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6" x14ac:dyDescent="0.25">
      <c r="A174" s="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6" x14ac:dyDescent="0.25">
      <c r="A175" s="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6" x14ac:dyDescent="0.25">
      <c r="A176" s="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6" x14ac:dyDescent="0.25">
      <c r="A177" s="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6" x14ac:dyDescent="0.25">
      <c r="A178" s="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6" x14ac:dyDescent="0.25">
      <c r="A179" s="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6" x14ac:dyDescent="0.25">
      <c r="A180" s="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6" x14ac:dyDescent="0.25">
      <c r="A181" s="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6" x14ac:dyDescent="0.25">
      <c r="A182" s="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6" x14ac:dyDescent="0.25">
      <c r="A183" s="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6" x14ac:dyDescent="0.25">
      <c r="A184" s="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6" x14ac:dyDescent="0.25">
      <c r="A185" s="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6" x14ac:dyDescent="0.25">
      <c r="A186" s="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6" x14ac:dyDescent="0.25">
      <c r="A187" s="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6" x14ac:dyDescent="0.25">
      <c r="A188" s="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6" x14ac:dyDescent="0.25">
      <c r="A189" s="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6" x14ac:dyDescent="0.25">
      <c r="A190" s="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6" x14ac:dyDescent="0.25">
      <c r="A191" s="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6" x14ac:dyDescent="0.25">
      <c r="A192" s="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6" x14ac:dyDescent="0.25">
      <c r="A193" s="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6" x14ac:dyDescent="0.25">
      <c r="A194" s="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6" x14ac:dyDescent="0.25">
      <c r="A195" s="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6" x14ac:dyDescent="0.25">
      <c r="A196" s="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6" x14ac:dyDescent="0.25">
      <c r="A197" s="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6" x14ac:dyDescent="0.25">
      <c r="A198" s="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6" x14ac:dyDescent="0.25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6" x14ac:dyDescent="0.25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6" x14ac:dyDescent="0.25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6" x14ac:dyDescent="0.25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6" x14ac:dyDescent="0.25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6" x14ac:dyDescent="0.25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6" x14ac:dyDescent="0.25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6" x14ac:dyDescent="0.25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6" x14ac:dyDescent="0.25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6" x14ac:dyDescent="0.25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6" x14ac:dyDescent="0.25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6" x14ac:dyDescent="0.25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6" x14ac:dyDescent="0.25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6" x14ac:dyDescent="0.25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6" x14ac:dyDescent="0.25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6" x14ac:dyDescent="0.25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6" x14ac:dyDescent="0.25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6" x14ac:dyDescent="0.25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6" x14ac:dyDescent="0.25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6" x14ac:dyDescent="0.25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6" x14ac:dyDescent="0.25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6" x14ac:dyDescent="0.25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6" x14ac:dyDescent="0.25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6" x14ac:dyDescent="0.25">
      <c r="A222" s="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6" x14ac:dyDescent="0.25">
      <c r="A223" s="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6" x14ac:dyDescent="0.25">
      <c r="A224" s="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6" x14ac:dyDescent="0.25">
      <c r="A225" s="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6" x14ac:dyDescent="0.25">
      <c r="A226" s="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6" x14ac:dyDescent="0.25">
      <c r="A227" s="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6" x14ac:dyDescent="0.25">
      <c r="A228" s="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6" x14ac:dyDescent="0.25">
      <c r="A229" s="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6" x14ac:dyDescent="0.25">
      <c r="A230" s="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6" x14ac:dyDescent="0.25">
      <c r="A231" s="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6" x14ac:dyDescent="0.25">
      <c r="A232" s="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6" x14ac:dyDescent="0.25">
      <c r="A233" s="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6" x14ac:dyDescent="0.25">
      <c r="A234" s="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6" x14ac:dyDescent="0.25">
      <c r="A235" s="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6" x14ac:dyDescent="0.25">
      <c r="A236" s="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6" x14ac:dyDescent="0.25">
      <c r="A237" s="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6" x14ac:dyDescent="0.25">
      <c r="A238" s="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6" x14ac:dyDescent="0.25">
      <c r="A239" s="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6" x14ac:dyDescent="0.25">
      <c r="A240" s="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6" x14ac:dyDescent="0.25">
      <c r="A241" s="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6" x14ac:dyDescent="0.25">
      <c r="A242" s="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6" x14ac:dyDescent="0.25">
      <c r="A243" s="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6" x14ac:dyDescent="0.25">
      <c r="A244" s="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6" x14ac:dyDescent="0.25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6" x14ac:dyDescent="0.25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6" x14ac:dyDescent="0.25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6" x14ac:dyDescent="0.25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6" x14ac:dyDescent="0.25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6" x14ac:dyDescent="0.25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6" x14ac:dyDescent="0.25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6" x14ac:dyDescent="0.25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6" x14ac:dyDescent="0.25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6" x14ac:dyDescent="0.25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6" x14ac:dyDescent="0.25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6" x14ac:dyDescent="0.25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6" x14ac:dyDescent="0.25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6" x14ac:dyDescent="0.25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6" x14ac:dyDescent="0.25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6" x14ac:dyDescent="0.25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6" x14ac:dyDescent="0.25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6" x14ac:dyDescent="0.25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6" x14ac:dyDescent="0.25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6" x14ac:dyDescent="0.25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6" x14ac:dyDescent="0.25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6" x14ac:dyDescent="0.25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6" x14ac:dyDescent="0.25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6" x14ac:dyDescent="0.25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6" x14ac:dyDescent="0.25">
      <c r="A269" s="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6" x14ac:dyDescent="0.25">
      <c r="A270" s="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6" x14ac:dyDescent="0.25">
      <c r="A271" s="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6" x14ac:dyDescent="0.25">
      <c r="A272" s="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6" x14ac:dyDescent="0.25">
      <c r="A273" s="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6" x14ac:dyDescent="0.25">
      <c r="A274" s="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6" x14ac:dyDescent="0.25">
      <c r="A275" s="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6" x14ac:dyDescent="0.25">
      <c r="A276" s="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6" x14ac:dyDescent="0.25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6" x14ac:dyDescent="0.25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6" x14ac:dyDescent="0.25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6" x14ac:dyDescent="0.25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6" x14ac:dyDescent="0.25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6" x14ac:dyDescent="0.25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6" x14ac:dyDescent="0.25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6" x14ac:dyDescent="0.25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6" x14ac:dyDescent="0.25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6" x14ac:dyDescent="0.25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6" x14ac:dyDescent="0.25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6" x14ac:dyDescent="0.25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6" x14ac:dyDescent="0.25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6" x14ac:dyDescent="0.25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6" x14ac:dyDescent="0.25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6" x14ac:dyDescent="0.25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6" x14ac:dyDescent="0.25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6" x14ac:dyDescent="0.25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6" x14ac:dyDescent="0.25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6" x14ac:dyDescent="0.25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6" x14ac:dyDescent="0.25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6" x14ac:dyDescent="0.25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6" x14ac:dyDescent="0.25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6" x14ac:dyDescent="0.25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6" x14ac:dyDescent="0.25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6" x14ac:dyDescent="0.25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6" x14ac:dyDescent="0.25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6" x14ac:dyDescent="0.25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6" x14ac:dyDescent="0.25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6" x14ac:dyDescent="0.25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6" x14ac:dyDescent="0.25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6" x14ac:dyDescent="0.25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6" x14ac:dyDescent="0.25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6" x14ac:dyDescent="0.25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6" x14ac:dyDescent="0.25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6" x14ac:dyDescent="0.25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6" x14ac:dyDescent="0.25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6" x14ac:dyDescent="0.25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6" x14ac:dyDescent="0.25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6" x14ac:dyDescent="0.25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6" x14ac:dyDescent="0.25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6" x14ac:dyDescent="0.25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6" x14ac:dyDescent="0.25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6" x14ac:dyDescent="0.25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6" x14ac:dyDescent="0.25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6" x14ac:dyDescent="0.25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6" x14ac:dyDescent="0.25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6" x14ac:dyDescent="0.25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6" x14ac:dyDescent="0.25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6" x14ac:dyDescent="0.25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6" x14ac:dyDescent="0.25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6" x14ac:dyDescent="0.25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6" x14ac:dyDescent="0.25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6" x14ac:dyDescent="0.25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6" x14ac:dyDescent="0.25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6" x14ac:dyDescent="0.25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6" x14ac:dyDescent="0.25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6" x14ac:dyDescent="0.25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6" x14ac:dyDescent="0.25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6" x14ac:dyDescent="0.25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6" x14ac:dyDescent="0.25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6" x14ac:dyDescent="0.25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6" x14ac:dyDescent="0.25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6" x14ac:dyDescent="0.25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6" x14ac:dyDescent="0.25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6" x14ac:dyDescent="0.25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6" x14ac:dyDescent="0.25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6" x14ac:dyDescent="0.25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6" x14ac:dyDescent="0.25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6" x14ac:dyDescent="0.25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6" x14ac:dyDescent="0.25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6" x14ac:dyDescent="0.25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6" x14ac:dyDescent="0.25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6" x14ac:dyDescent="0.25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6" x14ac:dyDescent="0.25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6" x14ac:dyDescent="0.25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6" x14ac:dyDescent="0.25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6" x14ac:dyDescent="0.25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6" x14ac:dyDescent="0.25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6" x14ac:dyDescent="0.25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6" x14ac:dyDescent="0.25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6" x14ac:dyDescent="0.25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6" x14ac:dyDescent="0.25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6" x14ac:dyDescent="0.25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6" x14ac:dyDescent="0.25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6" x14ac:dyDescent="0.25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6" x14ac:dyDescent="0.25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6" x14ac:dyDescent="0.25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6" x14ac:dyDescent="0.25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6" x14ac:dyDescent="0.25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6" x14ac:dyDescent="0.25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6" x14ac:dyDescent="0.25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6" x14ac:dyDescent="0.25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6" x14ac:dyDescent="0.25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6" x14ac:dyDescent="0.25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6" x14ac:dyDescent="0.25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6" x14ac:dyDescent="0.25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6" x14ac:dyDescent="0.25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6" x14ac:dyDescent="0.25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6" x14ac:dyDescent="0.25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6" x14ac:dyDescent="0.25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6" x14ac:dyDescent="0.25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6" x14ac:dyDescent="0.25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6" x14ac:dyDescent="0.25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6" x14ac:dyDescent="0.25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6" x14ac:dyDescent="0.25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6" x14ac:dyDescent="0.25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6" x14ac:dyDescent="0.25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6" x14ac:dyDescent="0.25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6" x14ac:dyDescent="0.25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6" x14ac:dyDescent="0.25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6" x14ac:dyDescent="0.25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6" x14ac:dyDescent="0.25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6" x14ac:dyDescent="0.25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6" x14ac:dyDescent="0.25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6" x14ac:dyDescent="0.25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6" x14ac:dyDescent="0.25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6" x14ac:dyDescent="0.25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6" x14ac:dyDescent="0.25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6" x14ac:dyDescent="0.25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6" x14ac:dyDescent="0.25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6" x14ac:dyDescent="0.25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6" x14ac:dyDescent="0.25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6" x14ac:dyDescent="0.25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6" x14ac:dyDescent="0.25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6" x14ac:dyDescent="0.25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6" x14ac:dyDescent="0.25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6" x14ac:dyDescent="0.25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6" x14ac:dyDescent="0.25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6" x14ac:dyDescent="0.25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6" x14ac:dyDescent="0.25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6" x14ac:dyDescent="0.25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6" x14ac:dyDescent="0.25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6" x14ac:dyDescent="0.25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6" x14ac:dyDescent="0.25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6" x14ac:dyDescent="0.25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6" x14ac:dyDescent="0.25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6" x14ac:dyDescent="0.25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6" x14ac:dyDescent="0.25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6" x14ac:dyDescent="0.25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6" x14ac:dyDescent="0.25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6" x14ac:dyDescent="0.25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6" x14ac:dyDescent="0.25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6" x14ac:dyDescent="0.25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6" x14ac:dyDescent="0.25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6" x14ac:dyDescent="0.25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6" x14ac:dyDescent="0.25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6" x14ac:dyDescent="0.25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6" x14ac:dyDescent="0.25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6" x14ac:dyDescent="0.25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6" x14ac:dyDescent="0.25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6" x14ac:dyDescent="0.25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6" x14ac:dyDescent="0.25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6" x14ac:dyDescent="0.25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6" x14ac:dyDescent="0.25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6" x14ac:dyDescent="0.25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6" x14ac:dyDescent="0.25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6" x14ac:dyDescent="0.25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6" x14ac:dyDescent="0.25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6" x14ac:dyDescent="0.25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6" x14ac:dyDescent="0.25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6" x14ac:dyDescent="0.25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6" x14ac:dyDescent="0.25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6" x14ac:dyDescent="0.25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6" x14ac:dyDescent="0.25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6" x14ac:dyDescent="0.25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6" x14ac:dyDescent="0.25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6" x14ac:dyDescent="0.25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6" x14ac:dyDescent="0.25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6" x14ac:dyDescent="0.25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6" x14ac:dyDescent="0.25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6" x14ac:dyDescent="0.25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6" x14ac:dyDescent="0.25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6" x14ac:dyDescent="0.25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6" x14ac:dyDescent="0.25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6" x14ac:dyDescent="0.25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6" x14ac:dyDescent="0.25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6" x14ac:dyDescent="0.25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6" x14ac:dyDescent="0.25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6" x14ac:dyDescent="0.25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6" x14ac:dyDescent="0.25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6" x14ac:dyDescent="0.25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6" x14ac:dyDescent="0.25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6" x14ac:dyDescent="0.25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6" x14ac:dyDescent="0.25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6" x14ac:dyDescent="0.25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6" x14ac:dyDescent="0.25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6" x14ac:dyDescent="0.25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6" x14ac:dyDescent="0.25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6" x14ac:dyDescent="0.25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6" x14ac:dyDescent="0.25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6" x14ac:dyDescent="0.25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6" x14ac:dyDescent="0.25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6" x14ac:dyDescent="0.25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6" x14ac:dyDescent="0.25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6" x14ac:dyDescent="0.25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6" x14ac:dyDescent="0.25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6" x14ac:dyDescent="0.25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6" x14ac:dyDescent="0.25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6" x14ac:dyDescent="0.25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6" x14ac:dyDescent="0.25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6" x14ac:dyDescent="0.25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6" x14ac:dyDescent="0.25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6" x14ac:dyDescent="0.25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6" x14ac:dyDescent="0.25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6" x14ac:dyDescent="0.25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6" x14ac:dyDescent="0.25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6" x14ac:dyDescent="0.25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6" x14ac:dyDescent="0.25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6" x14ac:dyDescent="0.25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6" x14ac:dyDescent="0.25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6" x14ac:dyDescent="0.25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6" x14ac:dyDescent="0.25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6" x14ac:dyDescent="0.25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6" x14ac:dyDescent="0.25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6" x14ac:dyDescent="0.25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6" x14ac:dyDescent="0.25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6" x14ac:dyDescent="0.25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6" x14ac:dyDescent="0.25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6" x14ac:dyDescent="0.25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6" x14ac:dyDescent="0.25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6" x14ac:dyDescent="0.25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6" x14ac:dyDescent="0.25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6" x14ac:dyDescent="0.25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6" x14ac:dyDescent="0.25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6" x14ac:dyDescent="0.25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6" x14ac:dyDescent="0.25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6" x14ac:dyDescent="0.25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6" x14ac:dyDescent="0.25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6" x14ac:dyDescent="0.25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6" x14ac:dyDescent="0.25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6" x14ac:dyDescent="0.25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6" x14ac:dyDescent="0.25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6" x14ac:dyDescent="0.25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6" x14ac:dyDescent="0.25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6" x14ac:dyDescent="0.25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6" x14ac:dyDescent="0.25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6" x14ac:dyDescent="0.25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6" x14ac:dyDescent="0.25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6" x14ac:dyDescent="0.25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6" x14ac:dyDescent="0.25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6" x14ac:dyDescent="0.25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6" x14ac:dyDescent="0.25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6" x14ac:dyDescent="0.25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6" x14ac:dyDescent="0.25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6" x14ac:dyDescent="0.25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6" x14ac:dyDescent="0.25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6" x14ac:dyDescent="0.25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6" x14ac:dyDescent="0.25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6" x14ac:dyDescent="0.25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6" x14ac:dyDescent="0.25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6" x14ac:dyDescent="0.25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6" x14ac:dyDescent="0.25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6" x14ac:dyDescent="0.25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6" x14ac:dyDescent="0.25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6" x14ac:dyDescent="0.25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6" x14ac:dyDescent="0.25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6" x14ac:dyDescent="0.25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6" x14ac:dyDescent="0.25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6" x14ac:dyDescent="0.25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6" x14ac:dyDescent="0.25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6" x14ac:dyDescent="0.25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6" x14ac:dyDescent="0.25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6" x14ac:dyDescent="0.25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6" x14ac:dyDescent="0.25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6" x14ac:dyDescent="0.25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6" x14ac:dyDescent="0.25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6" x14ac:dyDescent="0.25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6" x14ac:dyDescent="0.25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6" x14ac:dyDescent="0.25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6" x14ac:dyDescent="0.25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6" x14ac:dyDescent="0.25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6" x14ac:dyDescent="0.25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6" x14ac:dyDescent="0.25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6" x14ac:dyDescent="0.25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6" x14ac:dyDescent="0.25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6" x14ac:dyDescent="0.25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6" x14ac:dyDescent="0.25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6" x14ac:dyDescent="0.25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6" x14ac:dyDescent="0.25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6" x14ac:dyDescent="0.25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6" x14ac:dyDescent="0.25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6" x14ac:dyDescent="0.25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6" x14ac:dyDescent="0.25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6" x14ac:dyDescent="0.25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6" x14ac:dyDescent="0.25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6" x14ac:dyDescent="0.25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6" x14ac:dyDescent="0.25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6" x14ac:dyDescent="0.25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6" x14ac:dyDescent="0.25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6" x14ac:dyDescent="0.25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6" x14ac:dyDescent="0.25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6" x14ac:dyDescent="0.25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6" x14ac:dyDescent="0.25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6" x14ac:dyDescent="0.25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6" x14ac:dyDescent="0.25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6" x14ac:dyDescent="0.25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6" x14ac:dyDescent="0.25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6" x14ac:dyDescent="0.25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6" x14ac:dyDescent="0.25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6" x14ac:dyDescent="0.25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6" x14ac:dyDescent="0.25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6" x14ac:dyDescent="0.25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6" x14ac:dyDescent="0.25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6" x14ac:dyDescent="0.25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6" x14ac:dyDescent="0.25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6" x14ac:dyDescent="0.25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6" x14ac:dyDescent="0.25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6" x14ac:dyDescent="0.25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6" x14ac:dyDescent="0.25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6" x14ac:dyDescent="0.25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6" x14ac:dyDescent="0.25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6" x14ac:dyDescent="0.25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6" x14ac:dyDescent="0.25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6" x14ac:dyDescent="0.25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6" x14ac:dyDescent="0.25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6" x14ac:dyDescent="0.25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6" x14ac:dyDescent="0.25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6" x14ac:dyDescent="0.25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6" x14ac:dyDescent="0.25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6" x14ac:dyDescent="0.25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6" x14ac:dyDescent="0.25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6" x14ac:dyDescent="0.25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6" x14ac:dyDescent="0.25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6" x14ac:dyDescent="0.25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6" x14ac:dyDescent="0.25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6" x14ac:dyDescent="0.25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6" x14ac:dyDescent="0.25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6" x14ac:dyDescent="0.25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6" x14ac:dyDescent="0.25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6" x14ac:dyDescent="0.25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6" x14ac:dyDescent="0.25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6" x14ac:dyDescent="0.25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6" x14ac:dyDescent="0.25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6" x14ac:dyDescent="0.25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6" x14ac:dyDescent="0.25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6" x14ac:dyDescent="0.25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6" x14ac:dyDescent="0.25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6" x14ac:dyDescent="0.25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6" x14ac:dyDescent="0.25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6" x14ac:dyDescent="0.25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6" x14ac:dyDescent="0.25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6" x14ac:dyDescent="0.25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6" x14ac:dyDescent="0.25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6" x14ac:dyDescent="0.25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6" x14ac:dyDescent="0.25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6" x14ac:dyDescent="0.25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6" x14ac:dyDescent="0.25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6" x14ac:dyDescent="0.25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6" x14ac:dyDescent="0.25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6" x14ac:dyDescent="0.25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6" x14ac:dyDescent="0.25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6" x14ac:dyDescent="0.25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6" x14ac:dyDescent="0.25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6" x14ac:dyDescent="0.25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6" x14ac:dyDescent="0.25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6" x14ac:dyDescent="0.25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6" x14ac:dyDescent="0.25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6" x14ac:dyDescent="0.25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6" x14ac:dyDescent="0.25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6" x14ac:dyDescent="0.25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6" x14ac:dyDescent="0.25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6" x14ac:dyDescent="0.25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6" x14ac:dyDescent="0.25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6" x14ac:dyDescent="0.25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6" x14ac:dyDescent="0.25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6" x14ac:dyDescent="0.25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6" x14ac:dyDescent="0.25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6" x14ac:dyDescent="0.25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6" x14ac:dyDescent="0.25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6" x14ac:dyDescent="0.25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6" x14ac:dyDescent="0.25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6" x14ac:dyDescent="0.25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6" x14ac:dyDescent="0.25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6" x14ac:dyDescent="0.25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6" x14ac:dyDescent="0.25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6" x14ac:dyDescent="0.25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6" x14ac:dyDescent="0.25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6" x14ac:dyDescent="0.25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6" x14ac:dyDescent="0.25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6" x14ac:dyDescent="0.25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6" x14ac:dyDescent="0.25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6" x14ac:dyDescent="0.25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6" x14ac:dyDescent="0.25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6" x14ac:dyDescent="0.25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6" x14ac:dyDescent="0.25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6" x14ac:dyDescent="0.25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6" x14ac:dyDescent="0.25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6" x14ac:dyDescent="0.25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6" x14ac:dyDescent="0.25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6" x14ac:dyDescent="0.25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6" x14ac:dyDescent="0.25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6" x14ac:dyDescent="0.25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6" x14ac:dyDescent="0.25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6" x14ac:dyDescent="0.25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6" x14ac:dyDescent="0.25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6" x14ac:dyDescent="0.25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6" x14ac:dyDescent="0.25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6" x14ac:dyDescent="0.25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6" x14ac:dyDescent="0.25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6" x14ac:dyDescent="0.25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6" x14ac:dyDescent="0.25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6" x14ac:dyDescent="0.25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6" x14ac:dyDescent="0.25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6" x14ac:dyDescent="0.25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6" x14ac:dyDescent="0.25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6" x14ac:dyDescent="0.25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6" x14ac:dyDescent="0.25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6" x14ac:dyDescent="0.25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6" x14ac:dyDescent="0.25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6" x14ac:dyDescent="0.25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6" x14ac:dyDescent="0.25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6" x14ac:dyDescent="0.25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6" x14ac:dyDescent="0.25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6" x14ac:dyDescent="0.25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6" x14ac:dyDescent="0.25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6" x14ac:dyDescent="0.25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6" x14ac:dyDescent="0.25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6" x14ac:dyDescent="0.25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6" x14ac:dyDescent="0.25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6" x14ac:dyDescent="0.25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6" x14ac:dyDescent="0.25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6" x14ac:dyDescent="0.25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6" x14ac:dyDescent="0.25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6" x14ac:dyDescent="0.25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6" x14ac:dyDescent="0.25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6" x14ac:dyDescent="0.25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6" x14ac:dyDescent="0.25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6" x14ac:dyDescent="0.25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6" x14ac:dyDescent="0.25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6" x14ac:dyDescent="0.25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6" x14ac:dyDescent="0.25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6" x14ac:dyDescent="0.25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6" x14ac:dyDescent="0.25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6" x14ac:dyDescent="0.25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6" x14ac:dyDescent="0.25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6" x14ac:dyDescent="0.25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6" x14ac:dyDescent="0.25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6" x14ac:dyDescent="0.25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6" x14ac:dyDescent="0.25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6" x14ac:dyDescent="0.25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6" x14ac:dyDescent="0.25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6" x14ac:dyDescent="0.25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6" x14ac:dyDescent="0.25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6" x14ac:dyDescent="0.25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6" x14ac:dyDescent="0.25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6" x14ac:dyDescent="0.25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6" x14ac:dyDescent="0.25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6" x14ac:dyDescent="0.25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6" x14ac:dyDescent="0.25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6" x14ac:dyDescent="0.25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6" x14ac:dyDescent="0.25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6" x14ac:dyDescent="0.25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6" x14ac:dyDescent="0.25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6" x14ac:dyDescent="0.25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6" x14ac:dyDescent="0.25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6" x14ac:dyDescent="0.25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6" x14ac:dyDescent="0.25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6" x14ac:dyDescent="0.25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6" x14ac:dyDescent="0.25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6" x14ac:dyDescent="0.25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6" x14ac:dyDescent="0.25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6" x14ac:dyDescent="0.25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6" x14ac:dyDescent="0.25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6" x14ac:dyDescent="0.25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6" x14ac:dyDescent="0.25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6" x14ac:dyDescent="0.25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6" x14ac:dyDescent="0.25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6" x14ac:dyDescent="0.25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6" x14ac:dyDescent="0.25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6" x14ac:dyDescent="0.25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6" x14ac:dyDescent="0.25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6" x14ac:dyDescent="0.25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6" x14ac:dyDescent="0.25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6" x14ac:dyDescent="0.25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6" x14ac:dyDescent="0.25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6" x14ac:dyDescent="0.25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6" x14ac:dyDescent="0.25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6" x14ac:dyDescent="0.25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6" x14ac:dyDescent="0.25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6" x14ac:dyDescent="0.25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6" x14ac:dyDescent="0.25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6" x14ac:dyDescent="0.25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6" x14ac:dyDescent="0.25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6" x14ac:dyDescent="0.25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6" x14ac:dyDescent="0.25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6" x14ac:dyDescent="0.25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6" x14ac:dyDescent="0.25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6" x14ac:dyDescent="0.25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6" x14ac:dyDescent="0.25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6" x14ac:dyDescent="0.25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6" x14ac:dyDescent="0.25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6" x14ac:dyDescent="0.25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6" x14ac:dyDescent="0.25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6" x14ac:dyDescent="0.25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6" x14ac:dyDescent="0.25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6" x14ac:dyDescent="0.25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6" x14ac:dyDescent="0.25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6" x14ac:dyDescent="0.25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6" x14ac:dyDescent="0.25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6" x14ac:dyDescent="0.25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6" x14ac:dyDescent="0.25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6" x14ac:dyDescent="0.25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6" x14ac:dyDescent="0.25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6" x14ac:dyDescent="0.25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6" x14ac:dyDescent="0.25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6" x14ac:dyDescent="0.25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6" x14ac:dyDescent="0.25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6" x14ac:dyDescent="0.25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6" x14ac:dyDescent="0.25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6" x14ac:dyDescent="0.25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6" x14ac:dyDescent="0.25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6" x14ac:dyDescent="0.25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6" x14ac:dyDescent="0.25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6" x14ac:dyDescent="0.25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6" x14ac:dyDescent="0.25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6" x14ac:dyDescent="0.25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6" x14ac:dyDescent="0.25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6" x14ac:dyDescent="0.25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6" x14ac:dyDescent="0.25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6" x14ac:dyDescent="0.25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6" x14ac:dyDescent="0.25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6" x14ac:dyDescent="0.25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6" x14ac:dyDescent="0.25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6" x14ac:dyDescent="0.25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6" x14ac:dyDescent="0.25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6" x14ac:dyDescent="0.25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6" x14ac:dyDescent="0.25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6" x14ac:dyDescent="0.25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6" x14ac:dyDescent="0.25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6" x14ac:dyDescent="0.25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6" x14ac:dyDescent="0.25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6" x14ac:dyDescent="0.25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6" x14ac:dyDescent="0.25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6" x14ac:dyDescent="0.25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6" x14ac:dyDescent="0.25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6" x14ac:dyDescent="0.25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6" x14ac:dyDescent="0.25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6" x14ac:dyDescent="0.25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6" x14ac:dyDescent="0.25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6" x14ac:dyDescent="0.25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6" x14ac:dyDescent="0.25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6" x14ac:dyDescent="0.25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6" x14ac:dyDescent="0.25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6" x14ac:dyDescent="0.25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6" x14ac:dyDescent="0.25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6" x14ac:dyDescent="0.25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6" x14ac:dyDescent="0.25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6" x14ac:dyDescent="0.25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6" x14ac:dyDescent="0.25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6" x14ac:dyDescent="0.25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6" x14ac:dyDescent="0.25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6" x14ac:dyDescent="0.25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6" x14ac:dyDescent="0.25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6" x14ac:dyDescent="0.25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6" x14ac:dyDescent="0.25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6" x14ac:dyDescent="0.25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6" x14ac:dyDescent="0.25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6" x14ac:dyDescent="0.25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6" x14ac:dyDescent="0.25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6" x14ac:dyDescent="0.25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6" x14ac:dyDescent="0.25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6" x14ac:dyDescent="0.25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6" x14ac:dyDescent="0.25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6" x14ac:dyDescent="0.25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6" x14ac:dyDescent="0.25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6" x14ac:dyDescent="0.25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6" x14ac:dyDescent="0.25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6" x14ac:dyDescent="0.25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6" x14ac:dyDescent="0.25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6" x14ac:dyDescent="0.25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6" x14ac:dyDescent="0.25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6" x14ac:dyDescent="0.25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6" x14ac:dyDescent="0.25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6" x14ac:dyDescent="0.25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6" x14ac:dyDescent="0.25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6" x14ac:dyDescent="0.25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6" x14ac:dyDescent="0.25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6" x14ac:dyDescent="0.25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6" x14ac:dyDescent="0.25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6" x14ac:dyDescent="0.25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6" x14ac:dyDescent="0.25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6" x14ac:dyDescent="0.25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6" x14ac:dyDescent="0.25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6" x14ac:dyDescent="0.25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6" x14ac:dyDescent="0.25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6" x14ac:dyDescent="0.25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6" x14ac:dyDescent="0.25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6" x14ac:dyDescent="0.25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6" x14ac:dyDescent="0.25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6" x14ac:dyDescent="0.25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6" x14ac:dyDescent="0.25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6" x14ac:dyDescent="0.25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6" x14ac:dyDescent="0.25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6" x14ac:dyDescent="0.25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6" x14ac:dyDescent="0.25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6" x14ac:dyDescent="0.25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6" x14ac:dyDescent="0.25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6" x14ac:dyDescent="0.25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6" x14ac:dyDescent="0.25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6" x14ac:dyDescent="0.25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6" x14ac:dyDescent="0.25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6" x14ac:dyDescent="0.25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6" x14ac:dyDescent="0.25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6" x14ac:dyDescent="0.25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6" x14ac:dyDescent="0.25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6" x14ac:dyDescent="0.25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6" x14ac:dyDescent="0.25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6" x14ac:dyDescent="0.25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6" x14ac:dyDescent="0.25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6" x14ac:dyDescent="0.25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6" x14ac:dyDescent="0.25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6" x14ac:dyDescent="0.25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6" x14ac:dyDescent="0.25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6" x14ac:dyDescent="0.25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6" x14ac:dyDescent="0.25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6" x14ac:dyDescent="0.25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6" x14ac:dyDescent="0.25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6" x14ac:dyDescent="0.25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6" x14ac:dyDescent="0.25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6" x14ac:dyDescent="0.25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6" x14ac:dyDescent="0.25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6" x14ac:dyDescent="0.25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6" x14ac:dyDescent="0.25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6" x14ac:dyDescent="0.25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6" x14ac:dyDescent="0.25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6" x14ac:dyDescent="0.25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6" x14ac:dyDescent="0.25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6" x14ac:dyDescent="0.25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6" x14ac:dyDescent="0.25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6" x14ac:dyDescent="0.25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6" x14ac:dyDescent="0.25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6" x14ac:dyDescent="0.25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6" x14ac:dyDescent="0.25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6" x14ac:dyDescent="0.25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6" x14ac:dyDescent="0.25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6" x14ac:dyDescent="0.25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6" x14ac:dyDescent="0.25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6" x14ac:dyDescent="0.25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6" x14ac:dyDescent="0.25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6" x14ac:dyDescent="0.25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6" x14ac:dyDescent="0.25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6" x14ac:dyDescent="0.25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6" x14ac:dyDescent="0.25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6" x14ac:dyDescent="0.25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6" x14ac:dyDescent="0.25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6" x14ac:dyDescent="0.25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6" x14ac:dyDescent="0.25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6" x14ac:dyDescent="0.25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6" x14ac:dyDescent="0.25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6" x14ac:dyDescent="0.25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6" x14ac:dyDescent="0.25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6" x14ac:dyDescent="0.25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6" x14ac:dyDescent="0.25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6" x14ac:dyDescent="0.25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6" x14ac:dyDescent="0.25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6" x14ac:dyDescent="0.25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6" x14ac:dyDescent="0.25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6" x14ac:dyDescent="0.25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6" x14ac:dyDescent="0.25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6" x14ac:dyDescent="0.25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6" x14ac:dyDescent="0.25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6" x14ac:dyDescent="0.25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6" x14ac:dyDescent="0.25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6" x14ac:dyDescent="0.25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6" x14ac:dyDescent="0.25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6" x14ac:dyDescent="0.25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6" x14ac:dyDescent="0.25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6" x14ac:dyDescent="0.25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6" x14ac:dyDescent="0.25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6" x14ac:dyDescent="0.25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6" x14ac:dyDescent="0.25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6" x14ac:dyDescent="0.25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6" x14ac:dyDescent="0.25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6" x14ac:dyDescent="0.25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6" x14ac:dyDescent="0.25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6" x14ac:dyDescent="0.25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6" x14ac:dyDescent="0.25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6" x14ac:dyDescent="0.25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6" x14ac:dyDescent="0.25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6" x14ac:dyDescent="0.25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6" x14ac:dyDescent="0.25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6" x14ac:dyDescent="0.25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6" x14ac:dyDescent="0.25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6" x14ac:dyDescent="0.25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6" x14ac:dyDescent="0.25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6" x14ac:dyDescent="0.25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6" x14ac:dyDescent="0.25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6" x14ac:dyDescent="0.25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6" x14ac:dyDescent="0.25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6" x14ac:dyDescent="0.25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6" x14ac:dyDescent="0.25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6" x14ac:dyDescent="0.25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6" x14ac:dyDescent="0.25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6" x14ac:dyDescent="0.25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6" x14ac:dyDescent="0.25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6" x14ac:dyDescent="0.25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6" x14ac:dyDescent="0.25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6" x14ac:dyDescent="0.25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6" x14ac:dyDescent="0.25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6" x14ac:dyDescent="0.25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6" x14ac:dyDescent="0.25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6" x14ac:dyDescent="0.25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6" x14ac:dyDescent="0.25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6" x14ac:dyDescent="0.25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6" x14ac:dyDescent="0.25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6" x14ac:dyDescent="0.25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6" x14ac:dyDescent="0.25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6" x14ac:dyDescent="0.25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6" x14ac:dyDescent="0.25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6" x14ac:dyDescent="0.25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6" x14ac:dyDescent="0.25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6" x14ac:dyDescent="0.25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6" x14ac:dyDescent="0.25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6" x14ac:dyDescent="0.25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6" x14ac:dyDescent="0.25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6" x14ac:dyDescent="0.25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6" x14ac:dyDescent="0.25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6" x14ac:dyDescent="0.25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6" x14ac:dyDescent="0.25">
      <c r="A996" s="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6" x14ac:dyDescent="0.25">
      <c r="A997" s="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6" x14ac:dyDescent="0.25">
      <c r="A998" s="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6" x14ac:dyDescent="0.25">
      <c r="A999" s="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6" x14ac:dyDescent="0.25">
      <c r="A1000" s="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ef="B2" location="agents!A1" display="customers" xr:uid="{00000000-0004-0000-0000-000000000000}"/>
    <hyperlink ref="B3" location="customers!A1" display="agents" xr:uid="{00000000-0004-0000-0000-000001000000}"/>
    <hyperlink ref="B4" location="providers!A1" display="providers" xr:uid="{00000000-0004-0000-0000-000002000000}"/>
    <hyperlink ref="B5" location="vehicle!A1" display="vehicle" xr:uid="{00000000-0004-0000-0000-000003000000}"/>
    <hyperlink ref="B6" location="quotation!A1" display="quotation" xr:uid="{00000000-0004-0000-0000-000004000000}"/>
    <hyperlink ref="B7" location="quotation_item!A1" display="quotation_item" xr:uid="{00000000-0004-0000-0000-000005000000}"/>
    <hyperlink ref="B8" location="policy!A1" display="policy" xr:uid="{00000000-0004-0000-0000-000006000000}"/>
    <hyperlink ref="B9" location="cancellation!A1" display="cancellation" xr:uid="{00000000-0004-0000-0000-000007000000}"/>
    <hyperlink ref="B10" location="payment!A1" display="payment" xr:uid="{00000000-0004-0000-0000-000008000000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D18" sqref="D18"/>
    </sheetView>
  </sheetViews>
  <sheetFormatPr defaultColWidth="12.6640625" defaultRowHeight="15.75" customHeight="1" x14ac:dyDescent="0.25"/>
  <cols>
    <col min="1" max="1" width="10.88671875" customWidth="1"/>
    <col min="2" max="2" width="11.44140625" customWidth="1"/>
    <col min="3" max="3" width="9.77734375" customWidth="1"/>
    <col min="4" max="4" width="12.21875" customWidth="1"/>
    <col min="5" max="5" width="41.21875" customWidth="1"/>
    <col min="6" max="6" width="9.109375" customWidth="1"/>
    <col min="7" max="7" width="9" customWidth="1"/>
    <col min="8" max="8" width="9.109375" customWidth="1"/>
    <col min="9" max="9" width="12.21875" customWidth="1"/>
    <col min="10" max="10" width="9.109375" customWidth="1"/>
    <col min="11" max="11" width="14.6640625" customWidth="1"/>
  </cols>
  <sheetData>
    <row r="1" spans="1:26" ht="41.4" x14ac:dyDescent="0.25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5">
      <c r="A2" s="6" t="s">
        <v>22</v>
      </c>
      <c r="B2" s="6" t="s">
        <v>23</v>
      </c>
      <c r="C2" s="6" t="s">
        <v>2</v>
      </c>
      <c r="D2" s="6" t="s">
        <v>24</v>
      </c>
      <c r="E2" s="6" t="s">
        <v>25</v>
      </c>
      <c r="F2" s="6" t="s">
        <v>26</v>
      </c>
      <c r="G2" s="6" t="s">
        <v>27</v>
      </c>
      <c r="H2" s="6" t="s">
        <v>2</v>
      </c>
      <c r="I2" s="6" t="s">
        <v>24</v>
      </c>
      <c r="J2" s="6" t="s">
        <v>28</v>
      </c>
      <c r="K2" s="6" t="s">
        <v>29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A3" s="6" t="s">
        <v>22</v>
      </c>
      <c r="B3" s="6" t="s">
        <v>23</v>
      </c>
      <c r="C3" s="6" t="s">
        <v>2</v>
      </c>
      <c r="D3" s="6" t="s">
        <v>30</v>
      </c>
      <c r="E3" s="6" t="s">
        <v>25</v>
      </c>
      <c r="F3" s="6" t="s">
        <v>26</v>
      </c>
      <c r="G3" s="6" t="s">
        <v>27</v>
      </c>
      <c r="H3" s="6" t="s">
        <v>2</v>
      </c>
      <c r="I3" s="6" t="s">
        <v>30</v>
      </c>
      <c r="J3" s="6" t="s">
        <v>28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5">
      <c r="A4" s="6" t="s">
        <v>22</v>
      </c>
      <c r="B4" s="6" t="s">
        <v>23</v>
      </c>
      <c r="C4" s="6" t="s">
        <v>2</v>
      </c>
      <c r="D4" s="6" t="s">
        <v>31</v>
      </c>
      <c r="E4" s="6" t="s">
        <v>25</v>
      </c>
      <c r="F4" s="6" t="s">
        <v>26</v>
      </c>
      <c r="G4" s="6" t="s">
        <v>27</v>
      </c>
      <c r="H4" s="6" t="s">
        <v>2</v>
      </c>
      <c r="I4" s="6" t="s">
        <v>31</v>
      </c>
      <c r="J4" s="6" t="s">
        <v>28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5">
      <c r="A5" s="6" t="s">
        <v>22</v>
      </c>
      <c r="B5" s="6" t="s">
        <v>23</v>
      </c>
      <c r="C5" s="6" t="s">
        <v>2</v>
      </c>
      <c r="D5" s="6" t="s">
        <v>32</v>
      </c>
      <c r="E5" s="6" t="s">
        <v>33</v>
      </c>
      <c r="F5" s="6" t="s">
        <v>26</v>
      </c>
      <c r="G5" s="6" t="s">
        <v>27</v>
      </c>
      <c r="H5" s="6" t="s">
        <v>2</v>
      </c>
      <c r="I5" s="6" t="s">
        <v>32</v>
      </c>
      <c r="J5" s="6" t="s">
        <v>34</v>
      </c>
      <c r="K5" s="6" t="s">
        <v>35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5">
      <c r="A6" s="6" t="s">
        <v>22</v>
      </c>
      <c r="B6" s="6" t="s">
        <v>23</v>
      </c>
      <c r="C6" s="6" t="s">
        <v>2</v>
      </c>
      <c r="D6" s="6" t="s">
        <v>36</v>
      </c>
      <c r="E6" s="6" t="s">
        <v>25</v>
      </c>
      <c r="F6" s="6" t="s">
        <v>26</v>
      </c>
      <c r="G6" s="6" t="s">
        <v>27</v>
      </c>
      <c r="H6" s="6" t="s">
        <v>2</v>
      </c>
      <c r="I6" s="6" t="s">
        <v>36</v>
      </c>
      <c r="J6" s="6" t="s">
        <v>28</v>
      </c>
      <c r="K6" s="6" t="s">
        <v>37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5">
      <c r="A7" s="6" t="s">
        <v>22</v>
      </c>
      <c r="B7" s="6" t="s">
        <v>23</v>
      </c>
      <c r="C7" s="6" t="s">
        <v>2</v>
      </c>
      <c r="D7" s="6" t="s">
        <v>38</v>
      </c>
      <c r="E7" s="6" t="s">
        <v>25</v>
      </c>
      <c r="F7" s="6" t="s">
        <v>26</v>
      </c>
      <c r="G7" s="6" t="s">
        <v>27</v>
      </c>
      <c r="H7" s="6" t="s">
        <v>2</v>
      </c>
      <c r="I7" s="6" t="s">
        <v>38</v>
      </c>
      <c r="J7" s="6" t="s">
        <v>28</v>
      </c>
      <c r="K7" s="6" t="s">
        <v>39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5">
      <c r="A8" s="6" t="s">
        <v>22</v>
      </c>
      <c r="B8" s="6" t="s">
        <v>23</v>
      </c>
      <c r="C8" s="6" t="s">
        <v>2</v>
      </c>
      <c r="D8" s="6" t="s">
        <v>40</v>
      </c>
      <c r="E8" s="6" t="s">
        <v>25</v>
      </c>
      <c r="F8" s="6" t="s">
        <v>26</v>
      </c>
      <c r="G8" s="6" t="s">
        <v>27</v>
      </c>
      <c r="H8" s="6" t="s">
        <v>2</v>
      </c>
      <c r="I8" s="6" t="s">
        <v>40</v>
      </c>
      <c r="J8" s="6" t="s">
        <v>28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5">
      <c r="A9" s="6" t="s">
        <v>22</v>
      </c>
      <c r="B9" s="6" t="s">
        <v>23</v>
      </c>
      <c r="C9" s="6" t="s">
        <v>2</v>
      </c>
      <c r="D9" s="6" t="s">
        <v>41</v>
      </c>
      <c r="E9" s="6" t="s">
        <v>25</v>
      </c>
      <c r="F9" s="6" t="s">
        <v>26</v>
      </c>
      <c r="G9" s="6" t="s">
        <v>27</v>
      </c>
      <c r="H9" s="6" t="s">
        <v>2</v>
      </c>
      <c r="I9" s="6" t="s">
        <v>41</v>
      </c>
      <c r="J9" s="6" t="s">
        <v>28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5">
      <c r="A10" s="6" t="s">
        <v>22</v>
      </c>
      <c r="B10" s="6" t="s">
        <v>23</v>
      </c>
      <c r="C10" s="6" t="s">
        <v>2</v>
      </c>
      <c r="D10" s="6" t="s">
        <v>42</v>
      </c>
      <c r="E10" s="6" t="s">
        <v>43</v>
      </c>
      <c r="F10" s="6" t="s">
        <v>26</v>
      </c>
      <c r="G10" s="6" t="s">
        <v>27</v>
      </c>
      <c r="H10" s="6" t="s">
        <v>2</v>
      </c>
      <c r="I10" s="6" t="s">
        <v>42</v>
      </c>
      <c r="J10" s="6" t="s">
        <v>44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5">
      <c r="A11" s="6"/>
      <c r="B11" s="6"/>
      <c r="C11" s="6"/>
      <c r="D11" s="6"/>
      <c r="E11" s="6"/>
      <c r="F11" s="6"/>
      <c r="G11" s="6"/>
      <c r="H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5">
      <c r="A12" s="6"/>
      <c r="B12" s="6"/>
      <c r="C12" s="6"/>
      <c r="D12" s="6"/>
      <c r="E12" s="6"/>
      <c r="F12" s="6"/>
      <c r="G12" s="6"/>
      <c r="H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5">
      <c r="A13" s="6"/>
      <c r="B13" s="6"/>
      <c r="C13" s="6"/>
      <c r="D13" s="6"/>
      <c r="E13" s="7"/>
      <c r="F13" s="6"/>
      <c r="G13" s="6"/>
      <c r="H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6640625" defaultRowHeight="15.75" customHeight="1" x14ac:dyDescent="0.25"/>
  <cols>
    <col min="1" max="1" width="10.88671875" customWidth="1"/>
    <col min="2" max="2" width="11.44140625" customWidth="1"/>
    <col min="3" max="3" width="9.77734375" customWidth="1"/>
    <col min="4" max="4" width="12.6640625" customWidth="1"/>
    <col min="5" max="5" width="41.21875" customWidth="1"/>
    <col min="6" max="6" width="9.109375" customWidth="1"/>
    <col min="7" max="7" width="9" customWidth="1"/>
    <col min="8" max="8" width="9.109375" customWidth="1"/>
    <col min="9" max="9" width="12.6640625" customWidth="1"/>
    <col min="10" max="10" width="9.109375" customWidth="1"/>
    <col min="11" max="11" width="13.21875" customWidth="1"/>
  </cols>
  <sheetData>
    <row r="1" spans="1:26" ht="41.4" x14ac:dyDescent="0.25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5">
      <c r="A2" s="6" t="s">
        <v>22</v>
      </c>
      <c r="B2" s="6" t="s">
        <v>23</v>
      </c>
      <c r="C2" s="6" t="s">
        <v>3</v>
      </c>
      <c r="D2" s="6" t="s">
        <v>45</v>
      </c>
      <c r="E2" s="6" t="s">
        <v>25</v>
      </c>
      <c r="F2" s="6" t="s">
        <v>26</v>
      </c>
      <c r="G2" s="6" t="s">
        <v>27</v>
      </c>
      <c r="H2" s="6" t="s">
        <v>3</v>
      </c>
      <c r="I2" s="8" t="s">
        <v>45</v>
      </c>
      <c r="J2" s="6" t="s">
        <v>28</v>
      </c>
      <c r="K2" s="6" t="s">
        <v>29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A3" s="6" t="s">
        <v>22</v>
      </c>
      <c r="B3" s="6" t="s">
        <v>23</v>
      </c>
      <c r="C3" s="6" t="s">
        <v>3</v>
      </c>
      <c r="D3" s="6" t="s">
        <v>46</v>
      </c>
      <c r="E3" s="6" t="s">
        <v>25</v>
      </c>
      <c r="F3" s="6" t="s">
        <v>26</v>
      </c>
      <c r="G3" s="6" t="s">
        <v>27</v>
      </c>
      <c r="H3" s="6" t="s">
        <v>3</v>
      </c>
      <c r="I3" s="8" t="s">
        <v>46</v>
      </c>
      <c r="J3" s="6" t="s">
        <v>28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5">
      <c r="A4" s="6" t="s">
        <v>22</v>
      </c>
      <c r="B4" s="6" t="s">
        <v>23</v>
      </c>
      <c r="C4" s="6" t="s">
        <v>3</v>
      </c>
      <c r="D4" s="6" t="s">
        <v>47</v>
      </c>
      <c r="E4" s="6" t="s">
        <v>25</v>
      </c>
      <c r="F4" s="6" t="s">
        <v>26</v>
      </c>
      <c r="G4" s="6" t="s">
        <v>27</v>
      </c>
      <c r="H4" s="6" t="s">
        <v>3</v>
      </c>
      <c r="I4" s="8" t="s">
        <v>47</v>
      </c>
      <c r="J4" s="6" t="s">
        <v>28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5">
      <c r="A5" s="6" t="s">
        <v>22</v>
      </c>
      <c r="B5" s="6" t="s">
        <v>23</v>
      </c>
      <c r="C5" s="6" t="s">
        <v>3</v>
      </c>
      <c r="D5" s="6" t="s">
        <v>48</v>
      </c>
      <c r="E5" s="6" t="s">
        <v>25</v>
      </c>
      <c r="F5" s="6" t="s">
        <v>26</v>
      </c>
      <c r="G5" s="6" t="s">
        <v>27</v>
      </c>
      <c r="H5" s="6" t="s">
        <v>3</v>
      </c>
      <c r="I5" s="8" t="s">
        <v>48</v>
      </c>
      <c r="J5" s="6" t="s">
        <v>28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5">
      <c r="A6" s="6" t="s">
        <v>22</v>
      </c>
      <c r="B6" s="6" t="s">
        <v>23</v>
      </c>
      <c r="C6" s="6" t="s">
        <v>3</v>
      </c>
      <c r="D6" s="6" t="s">
        <v>49</v>
      </c>
      <c r="E6" s="6" t="s">
        <v>25</v>
      </c>
      <c r="F6" s="6" t="s">
        <v>26</v>
      </c>
      <c r="G6" s="6" t="s">
        <v>27</v>
      </c>
      <c r="H6" s="6" t="s">
        <v>3</v>
      </c>
      <c r="I6" s="8" t="s">
        <v>49</v>
      </c>
      <c r="J6" s="6" t="s">
        <v>28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5">
      <c r="A7" s="6" t="s">
        <v>22</v>
      </c>
      <c r="B7" s="6" t="s">
        <v>23</v>
      </c>
      <c r="C7" s="6" t="s">
        <v>3</v>
      </c>
      <c r="D7" s="6" t="s">
        <v>42</v>
      </c>
      <c r="E7" s="6" t="s">
        <v>43</v>
      </c>
      <c r="F7" s="6" t="s">
        <v>26</v>
      </c>
      <c r="G7" s="6" t="s">
        <v>27</v>
      </c>
      <c r="H7" s="6" t="s">
        <v>3</v>
      </c>
      <c r="I7" s="8" t="s">
        <v>42</v>
      </c>
      <c r="J7" s="6" t="s">
        <v>44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5">
      <c r="A18" s="6"/>
      <c r="B18" s="6"/>
      <c r="C18" s="6"/>
      <c r="D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5">
      <c r="A19" s="6"/>
      <c r="B19" s="6"/>
      <c r="C19" s="6"/>
      <c r="D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5">
      <c r="A20" s="6"/>
      <c r="B20" s="6"/>
      <c r="C20" s="6"/>
      <c r="D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5">
      <c r="A21" s="6"/>
      <c r="B21" s="6"/>
      <c r="C21" s="6"/>
      <c r="D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5">
      <c r="A22" s="6"/>
      <c r="B22" s="6"/>
      <c r="C22" s="6"/>
      <c r="D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5">
      <c r="A23" s="6"/>
      <c r="B23" s="6"/>
      <c r="C23" s="6"/>
      <c r="D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5">
      <c r="A24" s="6"/>
      <c r="B24" s="6"/>
      <c r="C24" s="6"/>
      <c r="D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5">
      <c r="A25" s="6"/>
      <c r="B25" s="6"/>
      <c r="C25" s="6"/>
      <c r="D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5">
      <c r="A26" s="6"/>
      <c r="B26" s="6"/>
      <c r="C26" s="6"/>
      <c r="D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998"/>
  <sheetViews>
    <sheetView workbookViewId="0"/>
  </sheetViews>
  <sheetFormatPr defaultColWidth="12.6640625" defaultRowHeight="15.75" customHeight="1" x14ac:dyDescent="0.25"/>
  <cols>
    <col min="1" max="1" width="10.88671875" customWidth="1"/>
    <col min="2" max="2" width="11.44140625" customWidth="1"/>
    <col min="3" max="3" width="16" customWidth="1"/>
    <col min="4" max="4" width="12.21875" customWidth="1"/>
    <col min="5" max="5" width="15.44140625" customWidth="1"/>
    <col min="6" max="6" width="9.109375" customWidth="1"/>
    <col min="7" max="7" width="9" customWidth="1"/>
    <col min="8" max="8" width="9.109375" customWidth="1"/>
    <col min="9" max="9" width="12.21875" customWidth="1"/>
    <col min="10" max="10" width="7.88671875" customWidth="1"/>
    <col min="11" max="11" width="13.21875" customWidth="1"/>
  </cols>
  <sheetData>
    <row r="1" spans="1:26" x14ac:dyDescent="0.25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5">
      <c r="A2" s="6" t="s">
        <v>22</v>
      </c>
      <c r="B2" s="6" t="s">
        <v>23</v>
      </c>
      <c r="C2" s="6" t="s">
        <v>50</v>
      </c>
      <c r="D2" s="6" t="s">
        <v>51</v>
      </c>
      <c r="E2" s="6" t="s">
        <v>25</v>
      </c>
      <c r="F2" s="6" t="s">
        <v>26</v>
      </c>
      <c r="G2" s="6" t="s">
        <v>27</v>
      </c>
      <c r="H2" s="6" t="s">
        <v>4</v>
      </c>
      <c r="I2" s="8" t="s">
        <v>51</v>
      </c>
      <c r="J2" s="6" t="s">
        <v>28</v>
      </c>
      <c r="K2" s="6" t="s">
        <v>29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A3" s="6" t="s">
        <v>22</v>
      </c>
      <c r="B3" s="6" t="s">
        <v>23</v>
      </c>
      <c r="C3" s="6" t="s">
        <v>50</v>
      </c>
      <c r="D3" s="6" t="s">
        <v>52</v>
      </c>
      <c r="E3" s="6" t="s">
        <v>25</v>
      </c>
      <c r="F3" s="6" t="s">
        <v>26</v>
      </c>
      <c r="G3" s="6" t="s">
        <v>27</v>
      </c>
      <c r="H3" s="6" t="s">
        <v>4</v>
      </c>
      <c r="I3" s="8" t="s">
        <v>52</v>
      </c>
      <c r="J3" s="6" t="s">
        <v>28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5">
      <c r="A4" s="6" t="s">
        <v>22</v>
      </c>
      <c r="B4" s="6" t="s">
        <v>23</v>
      </c>
      <c r="C4" s="6" t="s">
        <v>50</v>
      </c>
      <c r="D4" s="6" t="s">
        <v>53</v>
      </c>
      <c r="E4" s="6" t="s">
        <v>25</v>
      </c>
      <c r="F4" s="6" t="s">
        <v>26</v>
      </c>
      <c r="G4" s="6" t="s">
        <v>27</v>
      </c>
      <c r="H4" s="6" t="s">
        <v>4</v>
      </c>
      <c r="I4" s="8" t="s">
        <v>53</v>
      </c>
      <c r="J4" s="6" t="s">
        <v>28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5">
      <c r="A5" s="6" t="s">
        <v>22</v>
      </c>
      <c r="B5" s="6" t="s">
        <v>23</v>
      </c>
      <c r="C5" s="6" t="s">
        <v>50</v>
      </c>
      <c r="D5" s="6" t="s">
        <v>54</v>
      </c>
      <c r="E5" s="6" t="s">
        <v>25</v>
      </c>
      <c r="F5" s="6" t="s">
        <v>26</v>
      </c>
      <c r="G5" s="6" t="s">
        <v>27</v>
      </c>
      <c r="H5" s="6" t="s">
        <v>4</v>
      </c>
      <c r="I5" s="8" t="s">
        <v>54</v>
      </c>
      <c r="J5" s="6" t="s">
        <v>55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5">
      <c r="A6" s="6"/>
      <c r="B6" s="6"/>
      <c r="C6" s="6"/>
      <c r="D6" s="6"/>
      <c r="E6" s="6"/>
      <c r="F6" s="6"/>
      <c r="G6" s="6"/>
      <c r="H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1"/>
  <sheetViews>
    <sheetView workbookViewId="0"/>
  </sheetViews>
  <sheetFormatPr defaultColWidth="12.6640625" defaultRowHeight="15.75" customHeight="1" x14ac:dyDescent="0.25"/>
  <cols>
    <col min="1" max="1" width="10.88671875" customWidth="1"/>
    <col min="2" max="2" width="11.44140625" customWidth="1"/>
    <col min="3" max="3" width="9.77734375" customWidth="1"/>
    <col min="4" max="4" width="14.33203125" customWidth="1"/>
    <col min="5" max="5" width="18.77734375" customWidth="1"/>
    <col min="6" max="6" width="9.109375" customWidth="1"/>
    <col min="7" max="7" width="9" customWidth="1"/>
    <col min="8" max="8" width="9.109375" customWidth="1"/>
    <col min="9" max="9" width="14.6640625" customWidth="1"/>
    <col min="10" max="10" width="11.109375" customWidth="1"/>
    <col min="11" max="11" width="24.77734375" customWidth="1"/>
  </cols>
  <sheetData>
    <row r="1" spans="1:26" x14ac:dyDescent="0.25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5">
      <c r="A2" s="6" t="s">
        <v>22</v>
      </c>
      <c r="B2" s="6" t="s">
        <v>23</v>
      </c>
      <c r="C2" s="6" t="s">
        <v>5</v>
      </c>
      <c r="D2" s="8" t="s">
        <v>56</v>
      </c>
      <c r="E2" s="6" t="s">
        <v>25</v>
      </c>
      <c r="F2" s="6" t="s">
        <v>26</v>
      </c>
      <c r="G2" s="6" t="s">
        <v>27</v>
      </c>
      <c r="H2" s="6" t="s">
        <v>5</v>
      </c>
      <c r="I2" s="8" t="s">
        <v>56</v>
      </c>
      <c r="J2" s="6" t="s">
        <v>28</v>
      </c>
      <c r="K2" s="6" t="s">
        <v>29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A3" s="6" t="s">
        <v>22</v>
      </c>
      <c r="B3" s="6" t="s">
        <v>23</v>
      </c>
      <c r="C3" s="6" t="s">
        <v>5</v>
      </c>
      <c r="D3" s="8" t="s">
        <v>24</v>
      </c>
      <c r="E3" s="6" t="s">
        <v>25</v>
      </c>
      <c r="F3" s="6" t="s">
        <v>26</v>
      </c>
      <c r="G3" s="6" t="s">
        <v>27</v>
      </c>
      <c r="H3" s="6" t="s">
        <v>5</v>
      </c>
      <c r="I3" s="8" t="s">
        <v>24</v>
      </c>
      <c r="J3" s="6" t="s">
        <v>28</v>
      </c>
      <c r="K3" s="6" t="s">
        <v>57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5">
      <c r="A4" s="6" t="s">
        <v>22</v>
      </c>
      <c r="B4" s="6" t="s">
        <v>23</v>
      </c>
      <c r="C4" s="6" t="s">
        <v>5</v>
      </c>
      <c r="D4" s="8" t="s">
        <v>58</v>
      </c>
      <c r="E4" s="6" t="s">
        <v>25</v>
      </c>
      <c r="F4" s="6" t="s">
        <v>26</v>
      </c>
      <c r="G4" s="6" t="s">
        <v>27</v>
      </c>
      <c r="H4" s="6" t="s">
        <v>5</v>
      </c>
      <c r="I4" s="8" t="s">
        <v>58</v>
      </c>
      <c r="J4" s="6" t="s">
        <v>28</v>
      </c>
      <c r="K4" s="6" t="s">
        <v>59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5">
      <c r="A5" s="6" t="s">
        <v>22</v>
      </c>
      <c r="B5" s="6" t="s">
        <v>23</v>
      </c>
      <c r="C5" s="6" t="s">
        <v>5</v>
      </c>
      <c r="D5" s="8" t="s">
        <v>60</v>
      </c>
      <c r="E5" s="6" t="s">
        <v>25</v>
      </c>
      <c r="F5" s="6" t="s">
        <v>26</v>
      </c>
      <c r="G5" s="6" t="s">
        <v>27</v>
      </c>
      <c r="H5" s="6" t="s">
        <v>5</v>
      </c>
      <c r="I5" s="8" t="s">
        <v>60</v>
      </c>
      <c r="J5" s="6" t="s">
        <v>28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5">
      <c r="A6" s="6" t="s">
        <v>22</v>
      </c>
      <c r="B6" s="6" t="s">
        <v>23</v>
      </c>
      <c r="C6" s="6" t="s">
        <v>5</v>
      </c>
      <c r="D6" s="8" t="s">
        <v>61</v>
      </c>
      <c r="E6" s="6" t="s">
        <v>25</v>
      </c>
      <c r="F6" s="6" t="s">
        <v>26</v>
      </c>
      <c r="G6" s="6" t="s">
        <v>27</v>
      </c>
      <c r="H6" s="6" t="s">
        <v>5</v>
      </c>
      <c r="I6" s="8" t="s">
        <v>61</v>
      </c>
      <c r="J6" s="6" t="s">
        <v>28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5">
      <c r="A7" s="6" t="s">
        <v>22</v>
      </c>
      <c r="B7" s="6" t="s">
        <v>23</v>
      </c>
      <c r="C7" s="6" t="s">
        <v>5</v>
      </c>
      <c r="D7" s="8" t="s">
        <v>62</v>
      </c>
      <c r="E7" s="6" t="s">
        <v>25</v>
      </c>
      <c r="F7" s="6" t="s">
        <v>26</v>
      </c>
      <c r="G7" s="6" t="s">
        <v>27</v>
      </c>
      <c r="H7" s="6" t="s">
        <v>5</v>
      </c>
      <c r="I7" s="8" t="s">
        <v>62</v>
      </c>
      <c r="J7" s="6" t="s">
        <v>55</v>
      </c>
      <c r="K7" s="6" t="s">
        <v>63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5">
      <c r="A8" s="6" t="s">
        <v>22</v>
      </c>
      <c r="B8" s="6" t="s">
        <v>23</v>
      </c>
      <c r="C8" s="6" t="s">
        <v>5</v>
      </c>
      <c r="D8" s="8" t="s">
        <v>64</v>
      </c>
      <c r="E8" s="6" t="s">
        <v>65</v>
      </c>
      <c r="F8" s="6" t="s">
        <v>26</v>
      </c>
      <c r="G8" s="6" t="s">
        <v>27</v>
      </c>
      <c r="H8" s="6" t="s">
        <v>5</v>
      </c>
      <c r="I8" s="8" t="s">
        <v>64</v>
      </c>
      <c r="J8" s="6" t="s">
        <v>66</v>
      </c>
      <c r="K8" s="6" t="s">
        <v>67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x14ac:dyDescent="0.25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1000"/>
  <sheetViews>
    <sheetView workbookViewId="0"/>
  </sheetViews>
  <sheetFormatPr defaultColWidth="12.6640625" defaultRowHeight="15.75" customHeight="1" x14ac:dyDescent="0.25"/>
  <cols>
    <col min="1" max="1" width="10.88671875" customWidth="1"/>
    <col min="2" max="2" width="11.44140625" customWidth="1"/>
    <col min="3" max="3" width="9.77734375" customWidth="1"/>
    <col min="4" max="4" width="17.33203125" customWidth="1"/>
    <col min="5" max="5" width="28.44140625" customWidth="1"/>
    <col min="6" max="6" width="9.109375" customWidth="1"/>
    <col min="7" max="7" width="9" customWidth="1"/>
    <col min="8" max="8" width="9.109375" customWidth="1"/>
    <col min="9" max="9" width="17.33203125" customWidth="1"/>
    <col min="10" max="10" width="11.33203125" customWidth="1"/>
    <col min="11" max="11" width="57.88671875" customWidth="1"/>
  </cols>
  <sheetData>
    <row r="1" spans="1:26" x14ac:dyDescent="0.25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5">
      <c r="A2" s="6" t="s">
        <v>22</v>
      </c>
      <c r="B2" s="6" t="s">
        <v>23</v>
      </c>
      <c r="C2" s="6" t="s">
        <v>6</v>
      </c>
      <c r="D2" s="6" t="s">
        <v>68</v>
      </c>
      <c r="E2" s="6" t="s">
        <v>25</v>
      </c>
      <c r="F2" s="6" t="s">
        <v>26</v>
      </c>
      <c r="G2" s="6" t="s">
        <v>27</v>
      </c>
      <c r="H2" s="6" t="s">
        <v>6</v>
      </c>
      <c r="I2" s="6" t="s">
        <v>68</v>
      </c>
      <c r="J2" s="6" t="s">
        <v>28</v>
      </c>
      <c r="K2" s="6" t="s">
        <v>29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A3" s="6" t="s">
        <v>22</v>
      </c>
      <c r="B3" s="6" t="s">
        <v>23</v>
      </c>
      <c r="C3" s="6" t="s">
        <v>6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6</v>
      </c>
      <c r="I3" s="6" t="s">
        <v>24</v>
      </c>
      <c r="J3" s="6" t="s">
        <v>28</v>
      </c>
      <c r="K3" s="6" t="s">
        <v>57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5">
      <c r="A4" s="6" t="s">
        <v>22</v>
      </c>
      <c r="B4" s="6" t="s">
        <v>23</v>
      </c>
      <c r="C4" s="6" t="s">
        <v>6</v>
      </c>
      <c r="D4" s="6" t="s">
        <v>45</v>
      </c>
      <c r="E4" s="6" t="s">
        <v>25</v>
      </c>
      <c r="F4" s="6" t="s">
        <v>26</v>
      </c>
      <c r="G4" s="6" t="s">
        <v>27</v>
      </c>
      <c r="H4" s="6" t="s">
        <v>6</v>
      </c>
      <c r="I4" s="6" t="s">
        <v>45</v>
      </c>
      <c r="J4" s="6" t="s">
        <v>28</v>
      </c>
      <c r="K4" s="6" t="s">
        <v>57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5">
      <c r="A5" s="6" t="s">
        <v>22</v>
      </c>
      <c r="B5" s="6" t="s">
        <v>23</v>
      </c>
      <c r="C5" s="6" t="s">
        <v>6</v>
      </c>
      <c r="D5" s="6" t="s">
        <v>51</v>
      </c>
      <c r="E5" s="6" t="s">
        <v>25</v>
      </c>
      <c r="F5" s="6" t="s">
        <v>26</v>
      </c>
      <c r="G5" s="6" t="s">
        <v>27</v>
      </c>
      <c r="H5" s="6" t="s">
        <v>6</v>
      </c>
      <c r="I5" s="6" t="s">
        <v>51</v>
      </c>
      <c r="J5" s="6" t="s">
        <v>28</v>
      </c>
      <c r="K5" s="6" t="s">
        <v>57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5">
      <c r="A6" s="6" t="s">
        <v>22</v>
      </c>
      <c r="B6" s="6" t="s">
        <v>23</v>
      </c>
      <c r="C6" s="6" t="s">
        <v>6</v>
      </c>
      <c r="D6" s="6" t="s">
        <v>69</v>
      </c>
      <c r="E6" s="6" t="s">
        <v>70</v>
      </c>
      <c r="F6" s="6" t="s">
        <v>26</v>
      </c>
      <c r="G6" s="6" t="s">
        <v>27</v>
      </c>
      <c r="H6" s="6" t="s">
        <v>6</v>
      </c>
      <c r="I6" s="6" t="s">
        <v>69</v>
      </c>
      <c r="J6" s="6" t="s">
        <v>44</v>
      </c>
      <c r="K6" s="6" t="s">
        <v>71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5">
      <c r="A7" s="6" t="s">
        <v>22</v>
      </c>
      <c r="B7" s="6" t="s">
        <v>23</v>
      </c>
      <c r="C7" s="6" t="s">
        <v>6</v>
      </c>
      <c r="D7" s="6" t="s">
        <v>72</v>
      </c>
      <c r="E7" s="6" t="s">
        <v>25</v>
      </c>
      <c r="F7" s="6" t="s">
        <v>26</v>
      </c>
      <c r="G7" s="6" t="s">
        <v>27</v>
      </c>
      <c r="H7" s="6" t="s">
        <v>6</v>
      </c>
      <c r="I7" s="6" t="s">
        <v>72</v>
      </c>
      <c r="J7" s="6" t="s">
        <v>28</v>
      </c>
      <c r="K7" s="6" t="s">
        <v>73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5">
      <c r="A8" s="6" t="s">
        <v>22</v>
      </c>
      <c r="B8" s="6" t="s">
        <v>23</v>
      </c>
      <c r="C8" s="6" t="s">
        <v>6</v>
      </c>
      <c r="D8" s="6" t="s">
        <v>74</v>
      </c>
      <c r="E8" s="6" t="s">
        <v>25</v>
      </c>
      <c r="F8" s="6" t="s">
        <v>26</v>
      </c>
      <c r="G8" s="6" t="s">
        <v>27</v>
      </c>
      <c r="H8" s="6" t="s">
        <v>6</v>
      </c>
      <c r="I8" s="6" t="s">
        <v>74</v>
      </c>
      <c r="J8" s="6" t="s">
        <v>28</v>
      </c>
      <c r="K8" s="6" t="s">
        <v>75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5">
      <c r="A9" s="6" t="s">
        <v>22</v>
      </c>
      <c r="B9" s="6" t="s">
        <v>23</v>
      </c>
      <c r="C9" s="6" t="s">
        <v>6</v>
      </c>
      <c r="D9" s="6" t="s">
        <v>76</v>
      </c>
      <c r="E9" s="6" t="s">
        <v>65</v>
      </c>
      <c r="F9" s="6" t="s">
        <v>26</v>
      </c>
      <c r="G9" s="6" t="s">
        <v>27</v>
      </c>
      <c r="H9" s="6" t="s">
        <v>6</v>
      </c>
      <c r="I9" s="6" t="s">
        <v>76</v>
      </c>
      <c r="J9" s="6" t="s">
        <v>66</v>
      </c>
      <c r="K9" s="6" t="s">
        <v>77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5">
      <c r="A10" s="6" t="s">
        <v>22</v>
      </c>
      <c r="B10" s="6" t="s">
        <v>23</v>
      </c>
      <c r="C10" s="6" t="s">
        <v>6</v>
      </c>
      <c r="D10" s="6" t="s">
        <v>78</v>
      </c>
      <c r="E10" s="6" t="s">
        <v>79</v>
      </c>
      <c r="F10" s="6" t="s">
        <v>26</v>
      </c>
      <c r="G10" s="6" t="s">
        <v>27</v>
      </c>
      <c r="H10" s="6" t="s">
        <v>6</v>
      </c>
      <c r="I10" s="6" t="s">
        <v>78</v>
      </c>
      <c r="J10" s="6" t="s">
        <v>44</v>
      </c>
      <c r="K10" s="6" t="s">
        <v>80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996"/>
  <sheetViews>
    <sheetView workbookViewId="0"/>
  </sheetViews>
  <sheetFormatPr defaultColWidth="12.6640625" defaultRowHeight="15.75" customHeight="1" x14ac:dyDescent="0.25"/>
  <cols>
    <col min="1" max="1" width="10.88671875" customWidth="1"/>
    <col min="2" max="2" width="11.44140625" customWidth="1"/>
    <col min="3" max="3" width="11.88671875" customWidth="1"/>
    <col min="4" max="4" width="15.109375" customWidth="1"/>
    <col min="5" max="5" width="24.109375" customWidth="1"/>
    <col min="6" max="6" width="9.109375" customWidth="1"/>
    <col min="7" max="7" width="9" customWidth="1"/>
    <col min="8" max="8" width="11.88671875" customWidth="1"/>
    <col min="9" max="9" width="15.109375" customWidth="1"/>
    <col min="10" max="10" width="11.33203125" customWidth="1"/>
    <col min="11" max="11" width="17.44140625" customWidth="1"/>
  </cols>
  <sheetData>
    <row r="1" spans="1:26" x14ac:dyDescent="0.25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5">
      <c r="A2" s="6" t="s">
        <v>22</v>
      </c>
      <c r="B2" s="6" t="s">
        <v>23</v>
      </c>
      <c r="C2" s="6" t="s">
        <v>7</v>
      </c>
      <c r="D2" s="6" t="s">
        <v>81</v>
      </c>
      <c r="E2" s="6" t="s">
        <v>25</v>
      </c>
      <c r="F2" s="6" t="s">
        <v>26</v>
      </c>
      <c r="G2" s="6" t="s">
        <v>27</v>
      </c>
      <c r="H2" s="6" t="s">
        <v>7</v>
      </c>
      <c r="I2" s="6" t="s">
        <v>81</v>
      </c>
      <c r="J2" s="6" t="s">
        <v>28</v>
      </c>
      <c r="K2" s="6" t="s">
        <v>29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A3" s="6" t="s">
        <v>22</v>
      </c>
      <c r="B3" s="6" t="s">
        <v>23</v>
      </c>
      <c r="C3" s="6" t="s">
        <v>7</v>
      </c>
      <c r="D3" s="6" t="s">
        <v>68</v>
      </c>
      <c r="E3" s="6" t="s">
        <v>25</v>
      </c>
      <c r="F3" s="6" t="s">
        <v>26</v>
      </c>
      <c r="G3" s="6" t="s">
        <v>27</v>
      </c>
      <c r="H3" s="6" t="s">
        <v>7</v>
      </c>
      <c r="I3" s="6" t="s">
        <v>68</v>
      </c>
      <c r="J3" s="6" t="s">
        <v>28</v>
      </c>
      <c r="K3" s="6" t="s">
        <v>57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5">
      <c r="A4" s="6" t="s">
        <v>22</v>
      </c>
      <c r="B4" s="6" t="s">
        <v>23</v>
      </c>
      <c r="C4" s="6" t="s">
        <v>7</v>
      </c>
      <c r="D4" s="6" t="s">
        <v>82</v>
      </c>
      <c r="E4" s="6" t="s">
        <v>25</v>
      </c>
      <c r="F4" s="6" t="s">
        <v>26</v>
      </c>
      <c r="G4" s="6" t="s">
        <v>27</v>
      </c>
      <c r="H4" s="6" t="s">
        <v>7</v>
      </c>
      <c r="I4" s="6" t="s">
        <v>82</v>
      </c>
      <c r="J4" s="6" t="s">
        <v>28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5">
      <c r="A5" s="6" t="s">
        <v>22</v>
      </c>
      <c r="B5" s="6" t="s">
        <v>23</v>
      </c>
      <c r="C5" s="6" t="s">
        <v>7</v>
      </c>
      <c r="D5" s="6" t="s">
        <v>83</v>
      </c>
      <c r="E5" s="6" t="s">
        <v>65</v>
      </c>
      <c r="F5" s="6" t="s">
        <v>26</v>
      </c>
      <c r="G5" s="6" t="s">
        <v>27</v>
      </c>
      <c r="H5" s="6" t="s">
        <v>7</v>
      </c>
      <c r="I5" s="6" t="s">
        <v>83</v>
      </c>
      <c r="J5" s="6" t="s">
        <v>66</v>
      </c>
      <c r="K5" s="6" t="s">
        <v>84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5">
      <c r="A6" s="6" t="s">
        <v>22</v>
      </c>
      <c r="B6" s="6" t="s">
        <v>23</v>
      </c>
      <c r="C6" s="6" t="s">
        <v>7</v>
      </c>
      <c r="D6" s="6" t="s">
        <v>85</v>
      </c>
      <c r="E6" s="6" t="s">
        <v>65</v>
      </c>
      <c r="F6" s="6" t="s">
        <v>26</v>
      </c>
      <c r="G6" s="6" t="s">
        <v>27</v>
      </c>
      <c r="H6" s="6" t="s">
        <v>7</v>
      </c>
      <c r="I6" s="6" t="s">
        <v>85</v>
      </c>
      <c r="J6" s="6" t="s">
        <v>66</v>
      </c>
      <c r="K6" s="6" t="s">
        <v>86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>
      <selection activeCell="F1" sqref="F1:F1048576"/>
    </sheetView>
  </sheetViews>
  <sheetFormatPr defaultColWidth="12.6640625" defaultRowHeight="15.75" customHeight="1" x14ac:dyDescent="0.25"/>
  <cols>
    <col min="1" max="1" width="6.6640625" bestFit="1" customWidth="1"/>
    <col min="2" max="2" width="7.109375" bestFit="1" customWidth="1"/>
    <col min="3" max="3" width="6.33203125" bestFit="1" customWidth="1"/>
    <col min="4" max="4" width="15" bestFit="1" customWidth="1"/>
    <col min="5" max="5" width="23.33203125" bestFit="1" customWidth="1"/>
    <col min="6" max="6" width="11.33203125" customWidth="1"/>
    <col min="7" max="7" width="12" customWidth="1"/>
    <col min="8" max="8" width="13" customWidth="1"/>
    <col min="9" max="9" width="15" bestFit="1" customWidth="1"/>
    <col min="10" max="10" width="12.109375" bestFit="1" customWidth="1"/>
    <col min="11" max="11" width="48.77734375" bestFit="1" customWidth="1"/>
  </cols>
  <sheetData>
    <row r="1" spans="1:26" ht="41.4" x14ac:dyDescent="0.25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5">
      <c r="A2" s="6" t="s">
        <v>22</v>
      </c>
      <c r="B2" s="6" t="s">
        <v>23</v>
      </c>
      <c r="C2" s="6" t="s">
        <v>8</v>
      </c>
      <c r="D2" s="6" t="s">
        <v>87</v>
      </c>
      <c r="E2" s="6" t="s">
        <v>25</v>
      </c>
      <c r="F2" s="6" t="s">
        <v>26</v>
      </c>
      <c r="G2" s="6" t="s">
        <v>27</v>
      </c>
      <c r="H2" s="6" t="s">
        <v>8</v>
      </c>
      <c r="I2" s="6" t="s">
        <v>87</v>
      </c>
      <c r="J2" s="6" t="s">
        <v>28</v>
      </c>
      <c r="K2" s="6" t="s">
        <v>29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A3" s="6" t="s">
        <v>22</v>
      </c>
      <c r="B3" s="6" t="s">
        <v>23</v>
      </c>
      <c r="C3" s="6" t="s">
        <v>8</v>
      </c>
      <c r="D3" s="6" t="s">
        <v>68</v>
      </c>
      <c r="E3" s="6" t="s">
        <v>25</v>
      </c>
      <c r="F3" s="6" t="s">
        <v>26</v>
      </c>
      <c r="G3" s="6" t="s">
        <v>27</v>
      </c>
      <c r="H3" s="6" t="s">
        <v>8</v>
      </c>
      <c r="I3" s="6" t="s">
        <v>68</v>
      </c>
      <c r="J3" s="6" t="s">
        <v>28</v>
      </c>
      <c r="K3" s="6" t="s">
        <v>57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5">
      <c r="A4" s="6" t="s">
        <v>22</v>
      </c>
      <c r="B4" s="6" t="s">
        <v>23</v>
      </c>
      <c r="C4" s="6" t="s">
        <v>8</v>
      </c>
      <c r="D4" s="6" t="s">
        <v>24</v>
      </c>
      <c r="E4" s="6" t="s">
        <v>25</v>
      </c>
      <c r="F4" s="6" t="s">
        <v>26</v>
      </c>
      <c r="G4" s="6" t="s">
        <v>27</v>
      </c>
      <c r="H4" s="6" t="s">
        <v>8</v>
      </c>
      <c r="I4" s="6" t="s">
        <v>24</v>
      </c>
      <c r="J4" s="6" t="s">
        <v>28</v>
      </c>
      <c r="K4" s="6" t="s">
        <v>57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5">
      <c r="A5" s="6" t="s">
        <v>22</v>
      </c>
      <c r="B5" s="6" t="s">
        <v>23</v>
      </c>
      <c r="C5" s="6" t="s">
        <v>8</v>
      </c>
      <c r="D5" s="6" t="s">
        <v>51</v>
      </c>
      <c r="E5" s="6" t="s">
        <v>25</v>
      </c>
      <c r="F5" s="6" t="s">
        <v>26</v>
      </c>
      <c r="G5" s="6" t="s">
        <v>27</v>
      </c>
      <c r="H5" s="6" t="s">
        <v>8</v>
      </c>
      <c r="I5" s="6" t="s">
        <v>51</v>
      </c>
      <c r="J5" s="6" t="s">
        <v>28</v>
      </c>
      <c r="K5" s="6" t="s">
        <v>57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5">
      <c r="A6" s="6" t="s">
        <v>22</v>
      </c>
      <c r="B6" s="6" t="s">
        <v>23</v>
      </c>
      <c r="C6" s="6" t="s">
        <v>8</v>
      </c>
      <c r="D6" s="6" t="s">
        <v>88</v>
      </c>
      <c r="E6" s="6" t="s">
        <v>25</v>
      </c>
      <c r="F6" s="6" t="s">
        <v>26</v>
      </c>
      <c r="G6" s="6" t="s">
        <v>27</v>
      </c>
      <c r="H6" s="6" t="s">
        <v>8</v>
      </c>
      <c r="I6" s="6" t="s">
        <v>88</v>
      </c>
      <c r="J6" s="6" t="s">
        <v>28</v>
      </c>
      <c r="K6" s="6" t="s">
        <v>57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5">
      <c r="A7" s="6" t="s">
        <v>22</v>
      </c>
      <c r="B7" s="6" t="s">
        <v>23</v>
      </c>
      <c r="C7" s="6" t="s">
        <v>8</v>
      </c>
      <c r="D7" s="6" t="s">
        <v>89</v>
      </c>
      <c r="E7" s="6" t="s">
        <v>90</v>
      </c>
      <c r="F7" s="6" t="s">
        <v>26</v>
      </c>
      <c r="G7" s="6" t="s">
        <v>27</v>
      </c>
      <c r="H7" s="6" t="s">
        <v>8</v>
      </c>
      <c r="I7" s="6" t="s">
        <v>89</v>
      </c>
      <c r="J7" s="6" t="s">
        <v>34</v>
      </c>
      <c r="K7" s="6" t="s">
        <v>57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5">
      <c r="A8" s="6" t="s">
        <v>22</v>
      </c>
      <c r="B8" s="6" t="s">
        <v>23</v>
      </c>
      <c r="C8" s="6" t="s">
        <v>8</v>
      </c>
      <c r="D8" s="6" t="s">
        <v>91</v>
      </c>
      <c r="E8" s="6" t="s">
        <v>92</v>
      </c>
      <c r="F8" s="6" t="s">
        <v>26</v>
      </c>
      <c r="G8" s="6" t="s">
        <v>27</v>
      </c>
      <c r="H8" s="6" t="s">
        <v>8</v>
      </c>
      <c r="I8" s="6" t="s">
        <v>91</v>
      </c>
      <c r="J8" s="6" t="s">
        <v>34</v>
      </c>
      <c r="K8" s="6" t="s">
        <v>93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5">
      <c r="A9" s="6" t="s">
        <v>22</v>
      </c>
      <c r="B9" s="6" t="s">
        <v>23</v>
      </c>
      <c r="C9" s="6" t="s">
        <v>8</v>
      </c>
      <c r="D9" s="6" t="s">
        <v>94</v>
      </c>
      <c r="E9" s="6" t="s">
        <v>25</v>
      </c>
      <c r="F9" s="6" t="s">
        <v>26</v>
      </c>
      <c r="G9" s="6" t="s">
        <v>27</v>
      </c>
      <c r="H9" s="6" t="s">
        <v>8</v>
      </c>
      <c r="I9" s="6" t="s">
        <v>94</v>
      </c>
      <c r="J9" s="6" t="s">
        <v>28</v>
      </c>
      <c r="K9" s="6" t="s">
        <v>95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5">
      <c r="A10" s="6" t="s">
        <v>22</v>
      </c>
      <c r="B10" s="6" t="s">
        <v>23</v>
      </c>
      <c r="C10" s="6" t="s">
        <v>8</v>
      </c>
      <c r="D10" s="6" t="s">
        <v>76</v>
      </c>
      <c r="E10" s="6" t="s">
        <v>65</v>
      </c>
      <c r="F10" s="6" t="s">
        <v>26</v>
      </c>
      <c r="G10" s="6" t="s">
        <v>27</v>
      </c>
      <c r="H10" s="6" t="s">
        <v>8</v>
      </c>
      <c r="I10" s="6" t="s">
        <v>76</v>
      </c>
      <c r="J10" s="6" t="s">
        <v>66</v>
      </c>
      <c r="K10" s="6" t="s">
        <v>77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5">
      <c r="A11" s="6" t="s">
        <v>22</v>
      </c>
      <c r="B11" s="6" t="s">
        <v>23</v>
      </c>
      <c r="C11" s="6" t="s">
        <v>8</v>
      </c>
      <c r="D11" s="6" t="s">
        <v>96</v>
      </c>
      <c r="E11" s="6" t="s">
        <v>97</v>
      </c>
      <c r="F11" s="6" t="s">
        <v>26</v>
      </c>
      <c r="G11" s="6" t="s">
        <v>27</v>
      </c>
      <c r="H11" s="6" t="s">
        <v>8</v>
      </c>
      <c r="I11" s="6" t="s">
        <v>96</v>
      </c>
      <c r="J11" s="6" t="s">
        <v>44</v>
      </c>
      <c r="K11" s="6" t="s">
        <v>98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5">
      <c r="A12" s="6" t="s">
        <v>22</v>
      </c>
      <c r="B12" s="6" t="s">
        <v>23</v>
      </c>
      <c r="C12" s="6" t="s">
        <v>8</v>
      </c>
      <c r="D12" s="6" t="s">
        <v>99</v>
      </c>
      <c r="E12" s="6" t="s">
        <v>100</v>
      </c>
      <c r="F12" s="6" t="s">
        <v>26</v>
      </c>
      <c r="G12" s="6" t="s">
        <v>27</v>
      </c>
      <c r="H12" s="6" t="s">
        <v>8</v>
      </c>
      <c r="I12" s="6" t="s">
        <v>99</v>
      </c>
      <c r="J12" s="6" t="s">
        <v>44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Z1000"/>
  <sheetViews>
    <sheetView workbookViewId="0">
      <selection activeCell="G14" sqref="G14"/>
    </sheetView>
  </sheetViews>
  <sheetFormatPr defaultColWidth="12.6640625" defaultRowHeight="15.75" customHeight="1" x14ac:dyDescent="0.25"/>
  <cols>
    <col min="1" max="1" width="10.88671875" customWidth="1"/>
    <col min="2" max="2" width="11.44140625" customWidth="1"/>
    <col min="3" max="3" width="9.77734375" customWidth="1"/>
    <col min="4" max="4" width="15.88671875" customWidth="1"/>
    <col min="5" max="5" width="44.44140625" customWidth="1"/>
    <col min="6" max="6" width="12.109375" customWidth="1"/>
    <col min="7" max="7" width="13.44140625" customWidth="1"/>
    <col min="8" max="8" width="17.21875" customWidth="1"/>
    <col min="9" max="9" width="15.88671875" customWidth="1"/>
    <col min="10" max="10" width="28.44140625" customWidth="1"/>
    <col min="11" max="11" width="33.77734375" customWidth="1"/>
  </cols>
  <sheetData>
    <row r="1" spans="1:26" ht="41.4" x14ac:dyDescent="0.25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5">
      <c r="A2" s="6" t="s">
        <v>22</v>
      </c>
      <c r="B2" s="6" t="s">
        <v>23</v>
      </c>
      <c r="C2" s="6" t="s">
        <v>9</v>
      </c>
      <c r="D2" s="6" t="s">
        <v>101</v>
      </c>
      <c r="E2" s="6" t="s">
        <v>25</v>
      </c>
      <c r="F2" s="6" t="s">
        <v>26</v>
      </c>
      <c r="G2" s="6" t="s">
        <v>27</v>
      </c>
      <c r="H2" s="6" t="s">
        <v>9</v>
      </c>
      <c r="I2" s="6" t="s">
        <v>101</v>
      </c>
      <c r="J2" s="6" t="s">
        <v>28</v>
      </c>
      <c r="K2" s="6" t="s">
        <v>29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A3" s="6" t="s">
        <v>22</v>
      </c>
      <c r="B3" s="6" t="s">
        <v>23</v>
      </c>
      <c r="C3" s="6" t="s">
        <v>9</v>
      </c>
      <c r="D3" s="6" t="s">
        <v>87</v>
      </c>
      <c r="E3" s="6" t="s">
        <v>25</v>
      </c>
      <c r="F3" s="6" t="s">
        <v>26</v>
      </c>
      <c r="G3" s="6" t="s">
        <v>27</v>
      </c>
      <c r="H3" s="6" t="s">
        <v>9</v>
      </c>
      <c r="I3" s="6" t="s">
        <v>87</v>
      </c>
      <c r="J3" s="6" t="s">
        <v>28</v>
      </c>
      <c r="K3" s="6" t="s">
        <v>57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5">
      <c r="A4" s="6" t="s">
        <v>22</v>
      </c>
      <c r="B4" s="6" t="s">
        <v>23</v>
      </c>
      <c r="C4" s="6" t="s">
        <v>9</v>
      </c>
      <c r="D4" s="6" t="s">
        <v>102</v>
      </c>
      <c r="E4" s="6" t="s">
        <v>103</v>
      </c>
      <c r="F4" s="6" t="s">
        <v>26</v>
      </c>
      <c r="G4" s="6" t="s">
        <v>27</v>
      </c>
      <c r="H4" s="6" t="s">
        <v>9</v>
      </c>
      <c r="I4" s="6" t="s">
        <v>102</v>
      </c>
      <c r="J4" s="6" t="s">
        <v>44</v>
      </c>
      <c r="K4" s="6" t="s">
        <v>104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5">
      <c r="A5" s="6" t="s">
        <v>22</v>
      </c>
      <c r="B5" s="6" t="s">
        <v>23</v>
      </c>
      <c r="C5" s="6" t="s">
        <v>9</v>
      </c>
      <c r="D5" s="6" t="s">
        <v>105</v>
      </c>
      <c r="E5" s="6" t="s">
        <v>106</v>
      </c>
      <c r="F5" s="6" t="s">
        <v>26</v>
      </c>
      <c r="G5" s="6" t="s">
        <v>27</v>
      </c>
      <c r="H5" s="6" t="s">
        <v>9</v>
      </c>
      <c r="I5" s="6" t="s">
        <v>105</v>
      </c>
      <c r="J5" s="6" t="s">
        <v>28</v>
      </c>
      <c r="K5" s="6" t="s">
        <v>107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5">
      <c r="A6" s="6" t="s">
        <v>22</v>
      </c>
      <c r="B6" s="6" t="s">
        <v>23</v>
      </c>
      <c r="C6" s="6" t="s">
        <v>9</v>
      </c>
      <c r="D6" s="6" t="s">
        <v>108</v>
      </c>
      <c r="E6" s="6" t="s">
        <v>65</v>
      </c>
      <c r="F6" s="6" t="s">
        <v>26</v>
      </c>
      <c r="G6" s="6" t="s">
        <v>27</v>
      </c>
      <c r="H6" s="6" t="s">
        <v>9</v>
      </c>
      <c r="I6" s="6" t="s">
        <v>108</v>
      </c>
      <c r="J6" s="6" t="s">
        <v>66</v>
      </c>
      <c r="K6" s="6" t="s">
        <v>109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5">
      <c r="A7" s="6" t="s">
        <v>22</v>
      </c>
      <c r="B7" s="6" t="s">
        <v>23</v>
      </c>
      <c r="C7" s="6" t="s">
        <v>9</v>
      </c>
      <c r="D7" s="6" t="s">
        <v>99</v>
      </c>
      <c r="E7" s="6" t="s">
        <v>100</v>
      </c>
      <c r="F7" s="6" t="s">
        <v>26</v>
      </c>
      <c r="G7" s="6" t="s">
        <v>27</v>
      </c>
      <c r="H7" s="6" t="s">
        <v>9</v>
      </c>
      <c r="I7" s="6" t="s">
        <v>99</v>
      </c>
      <c r="J7" s="6" t="s">
        <v>44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1000"/>
  <sheetViews>
    <sheetView tabSelected="1" workbookViewId="0">
      <selection activeCell="J14" sqref="J14"/>
    </sheetView>
  </sheetViews>
  <sheetFormatPr defaultColWidth="12.6640625" defaultRowHeight="15.75" customHeight="1" x14ac:dyDescent="0.25"/>
  <cols>
    <col min="1" max="1" width="10.88671875" customWidth="1"/>
    <col min="2" max="2" width="11.44140625" customWidth="1"/>
    <col min="3" max="3" width="9.77734375" customWidth="1"/>
    <col min="4" max="4" width="19" bestFit="1" customWidth="1"/>
    <col min="5" max="5" width="24.5546875" bestFit="1" customWidth="1"/>
    <col min="6" max="6" width="12.88671875" customWidth="1"/>
    <col min="7" max="7" width="11.77734375" customWidth="1"/>
    <col min="8" max="8" width="12.33203125" customWidth="1"/>
    <col min="9" max="9" width="20.21875" customWidth="1"/>
    <col min="10" max="10" width="14.5546875" customWidth="1"/>
    <col min="11" max="11" width="45.21875" bestFit="1" customWidth="1"/>
  </cols>
  <sheetData>
    <row r="1" spans="1:26" ht="41.4" x14ac:dyDescent="0.25">
      <c r="A1" s="5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5">
      <c r="A2" s="6" t="s">
        <v>22</v>
      </c>
      <c r="B2" s="6" t="s">
        <v>23</v>
      </c>
      <c r="C2" s="6" t="s">
        <v>10</v>
      </c>
      <c r="D2" s="6" t="s">
        <v>110</v>
      </c>
      <c r="E2" s="6" t="s">
        <v>25</v>
      </c>
      <c r="F2" s="6" t="s">
        <v>26</v>
      </c>
      <c r="G2" s="6" t="s">
        <v>27</v>
      </c>
      <c r="H2" s="6" t="s">
        <v>10</v>
      </c>
      <c r="I2" s="6" t="s">
        <v>110</v>
      </c>
      <c r="J2" s="6" t="s">
        <v>28</v>
      </c>
      <c r="K2" s="6" t="s">
        <v>29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A3" s="6" t="s">
        <v>22</v>
      </c>
      <c r="B3" s="6" t="s">
        <v>23</v>
      </c>
      <c r="C3" s="6" t="s">
        <v>10</v>
      </c>
      <c r="D3" s="6" t="s">
        <v>87</v>
      </c>
      <c r="E3" s="6" t="s">
        <v>25</v>
      </c>
      <c r="F3" s="6" t="s">
        <v>26</v>
      </c>
      <c r="G3" s="6" t="s">
        <v>27</v>
      </c>
      <c r="H3" s="6" t="s">
        <v>10</v>
      </c>
      <c r="I3" s="6" t="s">
        <v>87</v>
      </c>
      <c r="J3" s="6" t="s">
        <v>28</v>
      </c>
      <c r="K3" s="6" t="s">
        <v>57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5">
      <c r="A4" s="6" t="s">
        <v>22</v>
      </c>
      <c r="B4" s="6" t="s">
        <v>23</v>
      </c>
      <c r="C4" s="6" t="s">
        <v>10</v>
      </c>
      <c r="D4" s="6" t="s">
        <v>111</v>
      </c>
      <c r="E4" s="6" t="s">
        <v>112</v>
      </c>
      <c r="F4" s="6" t="s">
        <v>26</v>
      </c>
      <c r="G4" s="6" t="s">
        <v>27</v>
      </c>
      <c r="H4" s="6" t="s">
        <v>10</v>
      </c>
      <c r="I4" s="6" t="s">
        <v>111</v>
      </c>
      <c r="J4" s="6" t="s">
        <v>44</v>
      </c>
      <c r="K4" s="6" t="s">
        <v>113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5">
      <c r="A5" s="6" t="s">
        <v>22</v>
      </c>
      <c r="B5" s="6" t="s">
        <v>23</v>
      </c>
      <c r="C5" s="6" t="s">
        <v>10</v>
      </c>
      <c r="D5" s="6" t="s">
        <v>114</v>
      </c>
      <c r="E5" s="6" t="s">
        <v>25</v>
      </c>
      <c r="F5" s="6" t="s">
        <v>26</v>
      </c>
      <c r="G5" s="6" t="s">
        <v>27</v>
      </c>
      <c r="H5" s="6" t="s">
        <v>10</v>
      </c>
      <c r="I5" s="6" t="s">
        <v>114</v>
      </c>
      <c r="J5" s="6" t="s">
        <v>28</v>
      </c>
      <c r="K5" s="6" t="s">
        <v>115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x14ac:dyDescent="0.25">
      <c r="A6" s="6" t="s">
        <v>22</v>
      </c>
      <c r="B6" s="6" t="s">
        <v>23</v>
      </c>
      <c r="C6" s="6" t="s">
        <v>10</v>
      </c>
      <c r="D6" s="6" t="s">
        <v>116</v>
      </c>
      <c r="E6" s="6" t="s">
        <v>25</v>
      </c>
      <c r="F6" s="6" t="s">
        <v>26</v>
      </c>
      <c r="G6" s="6" t="s">
        <v>27</v>
      </c>
      <c r="H6" s="6" t="s">
        <v>10</v>
      </c>
      <c r="I6" s="6" t="s">
        <v>116</v>
      </c>
      <c r="J6" s="6" t="s">
        <v>28</v>
      </c>
      <c r="K6" s="6" t="s">
        <v>117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x14ac:dyDescent="0.25">
      <c r="A7" s="6" t="s">
        <v>22</v>
      </c>
      <c r="B7" s="6" t="s">
        <v>23</v>
      </c>
      <c r="C7" s="6" t="s">
        <v>10</v>
      </c>
      <c r="D7" s="6" t="s">
        <v>118</v>
      </c>
      <c r="E7" s="6" t="s">
        <v>65</v>
      </c>
      <c r="F7" s="6" t="s">
        <v>26</v>
      </c>
      <c r="G7" s="6" t="s">
        <v>27</v>
      </c>
      <c r="H7" s="6" t="s">
        <v>10</v>
      </c>
      <c r="I7" s="6" t="s">
        <v>118</v>
      </c>
      <c r="J7" s="6" t="s">
        <v>119</v>
      </c>
      <c r="K7" s="6" t="s">
        <v>120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x14ac:dyDescent="0.25">
      <c r="A8" s="6" t="s">
        <v>22</v>
      </c>
      <c r="B8" s="6" t="s">
        <v>23</v>
      </c>
      <c r="C8" s="6" t="s">
        <v>10</v>
      </c>
      <c r="D8" s="6" t="s">
        <v>121</v>
      </c>
      <c r="E8" s="6" t="s">
        <v>25</v>
      </c>
      <c r="F8" s="6" t="s">
        <v>26</v>
      </c>
      <c r="G8" s="6" t="s">
        <v>27</v>
      </c>
      <c r="H8" s="6" t="s">
        <v>10</v>
      </c>
      <c r="I8" s="6" t="s">
        <v>121</v>
      </c>
      <c r="J8" s="6" t="s">
        <v>28</v>
      </c>
      <c r="K8" s="6" t="s">
        <v>57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x14ac:dyDescent="0.25">
      <c r="A9" s="6" t="s">
        <v>22</v>
      </c>
      <c r="B9" s="6" t="s">
        <v>23</v>
      </c>
      <c r="C9" s="6" t="s">
        <v>10</v>
      </c>
      <c r="D9" s="6" t="s">
        <v>99</v>
      </c>
      <c r="E9" s="6" t="s">
        <v>100</v>
      </c>
      <c r="F9" s="6" t="s">
        <v>26</v>
      </c>
      <c r="G9" s="6" t="s">
        <v>27</v>
      </c>
      <c r="H9" s="6" t="s">
        <v>10</v>
      </c>
      <c r="I9" s="6" t="s">
        <v>99</v>
      </c>
      <c r="J9" s="6" t="s">
        <v>44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x14ac:dyDescent="0.25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x14ac:dyDescent="0.25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x14ac:dyDescent="0.25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x14ac:dyDescent="0.25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x14ac:dyDescent="0.25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customers</vt:lpstr>
      <vt:lpstr>agents</vt:lpstr>
      <vt:lpstr>providers</vt:lpstr>
      <vt:lpstr>vehicle</vt:lpstr>
      <vt:lpstr>quotation</vt:lpstr>
      <vt:lpstr>quotation_item</vt:lpstr>
      <vt:lpstr>policy</vt:lpstr>
      <vt:lpstr>cancellation</vt:lpstr>
      <vt:lpstr>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Nguyên Lê</cp:lastModifiedBy>
  <dcterms:modified xsi:type="dcterms:W3CDTF">2026-06-01T09:10:55Z</dcterms:modified>
</cp:coreProperties>
</file>