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87ee328d1a3924/Data_All/NashTech/Group_Project/"/>
    </mc:Choice>
  </mc:AlternateContent>
  <xr:revisionPtr revIDLastSave="666" documentId="8_{48527393-CE05-4AC2-9BDA-6F9CD7648882}" xr6:coauthVersionLast="47" xr6:coauthVersionMax="47" xr10:uidLastSave="{F5BFC44B-7D94-451E-86BF-CA237A967952}"/>
  <bookViews>
    <workbookView xWindow="-120" yWindow="-120" windowWidth="29040" windowHeight="15840" activeTab="2" xr2:uid="{B11ECD7A-4A9C-4340-B27E-189D36C7F60E}"/>
  </bookViews>
  <sheets>
    <sheet name="Quotation Sale Dashboard" sheetId="1" r:id="rId1"/>
    <sheet name="Operational Dashboard" sheetId="2" r:id="rId2"/>
    <sheet name="Sample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3" l="1"/>
  <c r="O9" i="3"/>
  <c r="M10" i="3"/>
  <c r="O10" i="3" s="1"/>
  <c r="M11" i="3"/>
  <c r="M15" i="3"/>
  <c r="M16" i="3"/>
  <c r="O16" i="3" s="1"/>
  <c r="O15" i="3"/>
  <c r="M14" i="3"/>
  <c r="O14" i="3" s="1"/>
  <c r="M13" i="3"/>
  <c r="O13" i="3" s="1"/>
  <c r="M12" i="3"/>
  <c r="O12" i="3" s="1"/>
  <c r="M7" i="3"/>
  <c r="O7" i="3" s="1"/>
  <c r="M6" i="3"/>
  <c r="O6" i="3" s="1"/>
  <c r="M5" i="3"/>
  <c r="O3" i="3"/>
  <c r="O4" i="3"/>
  <c r="O8" i="3"/>
  <c r="O2" i="3"/>
  <c r="I3" i="2"/>
  <c r="I4" i="2"/>
  <c r="I5" i="2"/>
  <c r="I6" i="2"/>
  <c r="I7" i="2"/>
  <c r="I8" i="2"/>
  <c r="I9" i="2"/>
  <c r="I2" i="2"/>
  <c r="I3" i="1"/>
  <c r="I4" i="1"/>
  <c r="I5" i="1"/>
  <c r="I6" i="1"/>
  <c r="I7" i="1"/>
  <c r="I8" i="1"/>
  <c r="I2" i="1"/>
  <c r="O5" i="3" l="1"/>
  <c r="O11" i="3"/>
</calcChain>
</file>

<file path=xl/sharedStrings.xml><?xml version="1.0" encoding="utf-8"?>
<sst xmlns="http://schemas.openxmlformats.org/spreadsheetml/2006/main" count="208" uniqueCount="146">
  <si>
    <t>KPI</t>
  </si>
  <si>
    <t>DAX Query</t>
  </si>
  <si>
    <t>Match</t>
  </si>
  <si>
    <t>Total Quotations</t>
  </si>
  <si>
    <t>Accepted Quotations</t>
  </si>
  <si>
    <t>Policies Issued</t>
  </si>
  <si>
    <t>Conversion Rate</t>
  </si>
  <si>
    <t>Active Customer</t>
  </si>
  <si>
    <t>Net Premium</t>
  </si>
  <si>
    <t>Active Policies</t>
  </si>
  <si>
    <t>Issued Policies</t>
  </si>
  <si>
    <t>Paid Premium</t>
  </si>
  <si>
    <t>Pending Payment</t>
  </si>
  <si>
    <t>Refund Amount</t>
  </si>
  <si>
    <t>Failed Payment</t>
  </si>
  <si>
    <t>Cancellation Rate</t>
  </si>
  <si>
    <t>Total Quotations = DISTINCTCOUNT ( factquotationitem[quotation_info_key] )</t>
  </si>
  <si>
    <t>SQL Query</t>
  </si>
  <si>
    <t>DAX Query Value</t>
  </si>
  <si>
    <t>Actual value</t>
  </si>
  <si>
    <t>Accepted Quotations = CALCULATE ( [Total Quotations], factquotationitem[quotation_status] = "ACCEPTED" )</t>
  </si>
  <si>
    <t>Policies Issued = CALCULATE(DISTINCTCOUNT(dimpolicyinfo[policy_id] ), factpolicy)</t>
  </si>
  <si>
    <t>Business Meaning</t>
  </si>
  <si>
    <t>KPI Group</t>
  </si>
  <si>
    <t>DAX Query Sample Value</t>
  </si>
  <si>
    <t>With Converted Quotations = CALCULATE([Total Quotations], factquotationitem[quotation_status] = "CONVERTED")
Conversion Rate = DIVIDE ( [Converted Quotations], [Total Quotations] )</t>
  </si>
  <si>
    <t>SELECT COUNT(DISTINCT(policy_info_key)) AS total
FROM gold.factpolicy;</t>
  </si>
  <si>
    <t>SELECT COUNT(DISTINCT(quotation_info_key)) AS total
FROM gold.factquotationitem
WHERE quotation_status = 'ACCEPTED';</t>
  </si>
  <si>
    <t>SELECT COUNT(DISTINCT(quotation_info_key)) AS total
FROM gold.factquotationitem;</t>
  </si>
  <si>
    <t>SELECT ROUND(100.0 *SUM(
         CASE
                WHEN quotation_status = 'CONVERTED' THEN 1
                ELSE 0
        END)
        / NULLIF(COUNT(*), 0), 2
    ) AS conversion_rate_pct
FROM gold.factquotationitem;</t>
  </si>
  <si>
    <t>Policy KPIs</t>
  </si>
  <si>
    <t>Premium KPIs</t>
  </si>
  <si>
    <t>Risk KPIs</t>
  </si>
  <si>
    <t>Sales KPIs</t>
  </si>
  <si>
    <t>Conversion KPIs</t>
  </si>
  <si>
    <t>Revenue KPIs</t>
  </si>
  <si>
    <t>Customer KPIs</t>
  </si>
  <si>
    <t>SQL actual value</t>
  </si>
  <si>
    <t>Total Premium (VND) = SUM ( factpolicy[policy_premium_amount] )</t>
  </si>
  <si>
    <t>SELECT SUM(policy_premium_amount)
FROM gold.factpolicy;</t>
  </si>
  <si>
    <t>Avg Premium = AVERAGE ( factpolicy[policy_premium_amount] )</t>
  </si>
  <si>
    <t>SELECT AVG(policy_premium_amount)
FROM gold.factpolicy;</t>
  </si>
  <si>
    <t>Active Customers = CALCULATE (DISTINCTCOUNT ( factpolicy[customer_key] ), factpolicy[policy_status] = "ACTIVE")</t>
  </si>
  <si>
    <t>SELECT COUNT(DISTINCT(customer_key))
FROM gold.factpolicy
WHERE policy_status = 'ACTIVE';</t>
  </si>
  <si>
    <t>Average Premium</t>
  </si>
  <si>
    <t>Total Premium</t>
  </si>
  <si>
    <t>The total number of insurance quotations generated during the selected period. This reflects overall sales activity and customer interest in insurance products.</t>
  </si>
  <si>
    <t>The number of quotations that customers accepted and agreed to purchase. This indicates how many sales opportunities successfully moved forward in the sales process.</t>
  </si>
  <si>
    <t>The number of insurance policies officially issued to customers. This represents completed sales and actual business generated from quotations.</t>
  </si>
  <si>
    <t>The percentage of quotations that were successfully converted into issued policies. This KPI measures the effectiveness of the sales process and the ability to turn customer interest into actual revenue.</t>
  </si>
  <si>
    <t>The total value of insurance premiums from all issued policies during the selected period. This represents the total revenue generated from insurance sales.</t>
  </si>
  <si>
    <t>The average premium amount per issued policy. This KPI helps assess the average value of each sale and the overall quality of business being written.</t>
  </si>
  <si>
    <t>The number of unique customers who currently hold at least one active insurance policy. This reflects the size of the active customer base and customer retention performance.</t>
  </si>
  <si>
    <t>SELECT COUNT(DISTINCT(policy_info_key)) AS total
FROM gold.factpolicy
WHERE policy_status = 'ACTIVE';</t>
  </si>
  <si>
    <t>Paid Premium = CALCULATE(SUM('FactPayment'[payment_amount]), 'FactPayment'[payment_status] = "PAID")</t>
  </si>
  <si>
    <t>Pending Payment = CALCULATE(SUM('FactPayment'[payment_amount]), 'FactPayment'[payment_status] = "PENDING")</t>
  </si>
  <si>
    <t>Refund Amount = CALCULATE(SUM('FactPayment'[payment_amount]), 'FactPayment'[payment_status] = "REFUNDED")</t>
  </si>
  <si>
    <t>Failed Payment = CALCULATE(SUM('FactPayment'[payment_amount]), 'FactPayment'[payment_status] = "FAILED")</t>
  </si>
  <si>
    <t>SELECT SUM(CASE WHEN payment_status = 'PAID' THEN payment_amount ELSE 0 END) AS paid_premium 
FROM gold.factpayment;</t>
  </si>
  <si>
    <t>SELECT SUM(CASE WHEN payment_status = 'PENDING' THEN payment_amount ELSE 0 END) AS paid_premium 
FROM gold.factpayment;</t>
  </si>
  <si>
    <t>SELECT SUM(CASE WHEN payment_status = 'REFUNDED' THEN payment_amount ELSE 0 END) AS paid_premium 
FROM gold.factpayment;</t>
  </si>
  <si>
    <t>SELECT SUM(CASE WHEN payment_status = 'FAILED' THEN payment_amount ELSE 0 END) AS paid_premium 
FROM gold.factpayment;</t>
  </si>
  <si>
    <r>
      <rPr>
        <b/>
        <sz val="11"/>
        <color theme="1"/>
        <rFont val="Aptos Narrow"/>
        <family val="2"/>
        <scheme val="minor"/>
      </rPr>
      <t>Rate = Cancelled / Issued</t>
    </r>
    <r>
      <rPr>
        <sz val="11"/>
        <color theme="1"/>
        <rFont val="Aptos Narrow"/>
        <family val="2"/>
        <scheme val="minor"/>
      </rPr>
      <t xml:space="preserve">
SELECT
    CAST(
        COUNT(DISTINCT fc.policy_info_key) * 100.0
        / NULLIF(COUNT(DISTINCT fp.policy_info_key), 0)
        AS DECIMAL(10,2)
    ) AS cancellation_rate_pct
FROM gold.factpolicy fp
LEFT JOIN gold.factcancellation fc
ON fp.policy_info_key = fc.policy_info_key;</t>
    </r>
  </si>
  <si>
    <t>The total number of insurance policies that have been successfully issued to customers. This represents completed sales and the total volume of business written during the selected period.</t>
  </si>
  <si>
    <t>The number of insurance policies that are currently in force and providing coverage to customers. This reflects the size of the company's active portfolio.</t>
  </si>
  <si>
    <t>The actual premium revenue retained by the company after deducting any refunded premium amounts. This represents the net income generated from insurance premiums.</t>
  </si>
  <si>
    <t>The total premium amount successfully paid by customers. This measures the actual cash collected from policyholders.</t>
  </si>
  <si>
    <t>The total premium amount associated with payments that have not yet been completed or confirmed. This indicates outstanding receivables and potential future revenue.</t>
  </si>
  <si>
    <t>The total premium amount refunded to customers due to policy cancellations, adjustments, or other business reasons. This reflects revenue returned to policyholders.</t>
  </si>
  <si>
    <t>The total premium amount associated with payment transactions that were attempted but not successfully completed. This helps monitor payment processing issues and potential revenue loss.</t>
  </si>
  <si>
    <t>The percentage of issued policies that have been cancelled during the selected period. This KPI measures policy retention performance and customer persistence.</t>
  </si>
  <si>
    <t>Source Table</t>
  </si>
  <si>
    <t>gold.FactQuotationItem</t>
  </si>
  <si>
    <t>gold.DimPolicyInfo, gold.FactPolicy</t>
  </si>
  <si>
    <t>gold.FactPolicy</t>
  </si>
  <si>
    <t>gold.DimDate, gold.DimPolicyInfo</t>
  </si>
  <si>
    <t>gold.FactPayment</t>
  </si>
  <si>
    <t>gold.FactCancellation</t>
  </si>
  <si>
    <t>QuotationItem</t>
  </si>
  <si>
    <t>Quotation ID</t>
  </si>
  <si>
    <t>Policies</t>
  </si>
  <si>
    <t>Policy ID</t>
  </si>
  <si>
    <t>Customer ID</t>
  </si>
  <si>
    <t>Premium</t>
  </si>
  <si>
    <t>Payment</t>
  </si>
  <si>
    <t>Payment ID</t>
  </si>
  <si>
    <t>Dashboard</t>
  </si>
  <si>
    <t>Operational Dashboard</t>
  </si>
  <si>
    <t>Quotation &amp; Sales Dashboard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</si>
  <si>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</si>
  <si>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</si>
  <si>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</si>
  <si>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</si>
  <si>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</si>
  <si>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</si>
  <si>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</si>
  <si>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</si>
  <si>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</si>
  <si>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</si>
  <si>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P001</t>
  </si>
  <si>
    <t>P002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</si>
  <si>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</si>
  <si>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</si>
  <si>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</si>
  <si>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</si>
  <si>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</si>
  <si>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</si>
  <si>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</si>
  <si>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</si>
  <si>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</si>
  <si>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</si>
  <si>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ACCEPTED</t>
  </si>
  <si>
    <t>CONVERTED</t>
  </si>
  <si>
    <t>QUOTED</t>
  </si>
  <si>
    <t>EXPIRED</t>
  </si>
  <si>
    <t>REJECTED</t>
  </si>
  <si>
    <t>ISSUED</t>
  </si>
  <si>
    <t>ACTIVE</t>
  </si>
  <si>
    <t>CANCELLED</t>
  </si>
  <si>
    <t>P003</t>
  </si>
  <si>
    <t>P004</t>
  </si>
  <si>
    <t>Expected Value</t>
  </si>
  <si>
    <t>DAX Value</t>
  </si>
  <si>
    <t>Amount</t>
  </si>
  <si>
    <t>PAY001</t>
  </si>
  <si>
    <t>PAY002</t>
  </si>
  <si>
    <t>PAY003</t>
  </si>
  <si>
    <t>PAY004</t>
  </si>
  <si>
    <t>PAY005</t>
  </si>
  <si>
    <t>PAY006</t>
  </si>
  <si>
    <t>P005</t>
  </si>
  <si>
    <t>PAID</t>
  </si>
  <si>
    <t>REFUNDED</t>
  </si>
  <si>
    <t>FAILED</t>
  </si>
  <si>
    <t>Q011</t>
  </si>
  <si>
    <t>C011</t>
  </si>
  <si>
    <t>PENDING</t>
  </si>
  <si>
    <t>Cancellation</t>
  </si>
  <si>
    <t>Cancellation ID</t>
  </si>
  <si>
    <t>CAN001</t>
  </si>
  <si>
    <t>Cancellation Rate = 
VAR CancelledCount = CALCULATE ( DISTINCTCOUNT ( 'FactCancellation'[policy_info_key] ), 'DimPolicyInfo'[is_deleted] = FALSE ())
VAR IssuedCount = CALCULATE ( DISTINCTCOUNT ( 'FactPolicy'[policy_info_key] ), 'DimPolicyInfo'[is_deleted] = FALSE ())
RETURN DIVIDE ( CancelledCount, IssuedCount, 0 )</t>
  </si>
  <si>
    <t>Issue Policy = 
VAR IssuedCount = 
    CALCULATE(
        DISTINCTCOUNT('FactPolicy'[policy_info_key])
    )
RETURN COALESCE(IssuedCount, 0)</t>
  </si>
  <si>
    <t>Actual Collected Premium = 
VAR GrossPaid = CALCULATE(SUM('FactPayment'[payment_amount]), 'FactPayment'[payment_status] = "PAID")
VAR RefundedAmount = CALCULATE(SUM('FactPayment'[payment_amount]), 'FactPayment'[payment_status] ="REFUNDED")
RETURN COALESCE(GrossPaid, 0) - COALESCE(RefundedAmount, 0)</t>
  </si>
  <si>
    <t>SELECT 
    SUM(CASE WHEN payment_status = 'PAID' THEN payment_amount ELSE 0 END)
    - SUM(CASE WHEN payment_status = 'REFUNDED' THEN payment_amount ELSE 0 END) AS net_premium 
FROM gold.factpayment;</t>
  </si>
  <si>
    <t>Active Policies = 
VAR SelectedDate = MAX ( 'dimdate'[full_date] )
VAR HasRestrictedDateSelection = ISCROSSFILTERED ( 'dimdate' )
RETURN
IF (
    HasRestrictedDateSelection,
    -- Case 1: Month-Year or date range selected: Count policies active as of the selected period end date.
    CALCULATE (
        COUNTROWS ( 'DimPolicyInfo' ),
        REMOVEFILTERS ( 'dimdate' ),
        'DimPolicyInfo'[is_deleted] = FALSE (),
        'DimPolicyInfo'[policy_start_date] &lt;= SelectedDate,
        'DimPolicyInfo'[policy_end_date] &gt;= SelectedDate
            || ISBLANK ( 'DimPolicyInfo'[policy_end_date] )
    ),
    -- Case 2: Time slicer is All: Count policies whose current business status is ACTIVE.
    CALCULATE (
        DISTINCTCOUNT ( 'FactPolicy'[policy_info_key] ),
        REMOVEFILTERS ( 'dimdate' ),
        'DimPolicyInfo'[is_deleted] = FALSE (),
        'FactPolicy'[policy_status] = "ACTIVE"
    )
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</si>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</sst>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VND]\ * #,##0_);_([$VND]\ * \(#,##0\);_([$VND]\ 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0" fillId="2" borderId="10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Border="1" applyAlignment="1">
      <alignment horizontal="right" vertical="center"/>
    </xf>
    <xf numFmtId="9" fontId="0" fillId="2" borderId="6" xfId="2" applyFont="1" applyFill="1" applyBorder="1" applyAlignment="1">
      <alignment horizontal="right" vertical="center"/>
    </xf>
    <xf numFmtId="164" fontId="0" fillId="2" borderId="4" xfId="1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0" fillId="2" borderId="10" xfId="1" applyNumberFormat="1" applyFont="1" applyFill="1" applyBorder="1" applyAlignment="1">
      <alignment vertical="center"/>
    </xf>
    <xf numFmtId="164" fontId="0" fillId="2" borderId="4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9" fontId="0" fillId="2" borderId="4" xfId="2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0" fontId="0" fillId="0" borderId="5" xfId="2" applyNumberFormat="1" applyFont="1" applyBorder="1" applyAlignment="1">
      <alignment vertical="center"/>
    </xf>
    <xf numFmtId="10" fontId="0" fillId="0" borderId="8" xfId="2" applyNumberFormat="1" applyFont="1" applyBorder="1" applyAlignment="1">
      <alignment vertical="center"/>
    </xf>
    <xf numFmtId="10" fontId="0" fillId="0" borderId="3" xfId="2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4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B4D4-0E4D-47BB-B38C-8BA9FFAFDFCB}">
  <dimension ref="A1:I8"/>
  <sheetViews>
    <sheetView zoomScale="93" zoomScaleNormal="93" workbookViewId="0">
      <selection activeCell="D17" sqref="D17"/>
    </sheetView>
  </sheetViews>
  <sheetFormatPr defaultRowHeight="15" x14ac:dyDescent="0.25"/>
  <cols>
    <col min="1" max="1" width="15.85546875" style="4" bestFit="1" customWidth="1"/>
    <col min="2" max="2" width="20.140625" style="4" bestFit="1" customWidth="1"/>
    <col min="3" max="3" width="21.7109375" style="4" customWidth="1"/>
    <col min="4" max="4" width="48.85546875" style="4" customWidth="1"/>
    <col min="5" max="5" width="101.7109375" style="4" customWidth="1"/>
    <col min="6" max="6" width="23.85546875" style="4" bestFit="1" customWidth="1"/>
    <col min="7" max="7" width="50.7109375" style="4" bestFit="1" customWidth="1"/>
    <col min="8" max="8" width="16" style="4" bestFit="1" customWidth="1"/>
    <col min="9" max="9" width="6.42578125" style="4" bestFit="1" customWidth="1"/>
    <col min="10" max="16384" width="9.140625" style="4"/>
  </cols>
  <sheetData>
    <row r="1" spans="1:9" x14ac:dyDescent="0.25">
      <c r="A1" s="6" t="s">
        <v>23</v>
      </c>
      <c r="B1" s="5" t="s">
        <v>0</v>
      </c>
      <c r="C1" s="5" t="s">
        <v>71</v>
      </c>
      <c r="D1" s="5" t="s">
        <v>22</v>
      </c>
      <c r="E1" s="6" t="s">
        <v>1</v>
      </c>
      <c r="F1" s="7" t="s">
        <v>24</v>
      </c>
      <c r="G1" s="6" t="s">
        <v>17</v>
      </c>
      <c r="H1" s="7" t="s">
        <v>37</v>
      </c>
      <c r="I1" s="6" t="s">
        <v>2</v>
      </c>
    </row>
    <row r="2" spans="1:9" ht="45" x14ac:dyDescent="0.25">
      <c r="A2" s="79" t="s">
        <v>33</v>
      </c>
      <c r="B2" s="40" t="s">
        <v>3</v>
      </c>
      <c r="C2" s="24" t="s">
        <v>72</v>
      </c>
      <c r="D2" s="24" t="s">
        <v>46</v>
      </c>
      <c r="E2" s="8" t="s">
        <v>16</v>
      </c>
      <c r="F2" s="12">
        <v>1000</v>
      </c>
      <c r="G2" s="9" t="s">
        <v>28</v>
      </c>
      <c r="H2" s="12">
        <v>1000</v>
      </c>
      <c r="I2" s="78">
        <f>IF(H2=F2, 1, 0)</f>
        <v>1</v>
      </c>
    </row>
    <row r="3" spans="1:9" ht="60" x14ac:dyDescent="0.25">
      <c r="A3" s="81"/>
      <c r="B3" s="41" t="s">
        <v>4</v>
      </c>
      <c r="C3" s="25" t="s">
        <v>72</v>
      </c>
      <c r="D3" s="25" t="s">
        <v>47</v>
      </c>
      <c r="E3" s="1" t="s">
        <v>20</v>
      </c>
      <c r="F3" s="13">
        <v>200</v>
      </c>
      <c r="G3" s="3" t="s">
        <v>27</v>
      </c>
      <c r="H3" s="13">
        <v>200</v>
      </c>
      <c r="I3" s="78">
        <f t="shared" ref="I3:I6" si="0">IF(H3=F3, 1, 0)</f>
        <v>1</v>
      </c>
    </row>
    <row r="4" spans="1:9" ht="45" x14ac:dyDescent="0.25">
      <c r="A4" s="81"/>
      <c r="B4" s="41" t="s">
        <v>5</v>
      </c>
      <c r="C4" s="25" t="s">
        <v>73</v>
      </c>
      <c r="D4" s="25" t="s">
        <v>48</v>
      </c>
      <c r="E4" s="1" t="s">
        <v>21</v>
      </c>
      <c r="F4" s="13">
        <v>600</v>
      </c>
      <c r="G4" s="3" t="s">
        <v>26</v>
      </c>
      <c r="H4" s="13">
        <v>600</v>
      </c>
      <c r="I4" s="78">
        <f t="shared" si="0"/>
        <v>1</v>
      </c>
    </row>
    <row r="5" spans="1:9" ht="120" x14ac:dyDescent="0.25">
      <c r="A5" s="6" t="s">
        <v>34</v>
      </c>
      <c r="B5" s="42" t="s">
        <v>6</v>
      </c>
      <c r="C5" s="26" t="s">
        <v>72</v>
      </c>
      <c r="D5" s="26" t="s">
        <v>49</v>
      </c>
      <c r="E5" s="11" t="s">
        <v>25</v>
      </c>
      <c r="F5" s="14">
        <v>0.2</v>
      </c>
      <c r="G5" s="11" t="s">
        <v>29</v>
      </c>
      <c r="H5" s="14">
        <v>0.2</v>
      </c>
      <c r="I5" s="78">
        <f t="shared" si="0"/>
        <v>1</v>
      </c>
    </row>
    <row r="6" spans="1:9" ht="60" x14ac:dyDescent="0.25">
      <c r="A6" s="79" t="s">
        <v>35</v>
      </c>
      <c r="B6" s="40" t="s">
        <v>45</v>
      </c>
      <c r="C6" s="24" t="s">
        <v>74</v>
      </c>
      <c r="D6" s="24" t="s">
        <v>50</v>
      </c>
      <c r="E6" s="8" t="s">
        <v>38</v>
      </c>
      <c r="F6" s="12">
        <v>6304500000</v>
      </c>
      <c r="G6" s="9" t="s">
        <v>39</v>
      </c>
      <c r="H6" s="12">
        <v>6304500000</v>
      </c>
      <c r="I6" s="78">
        <f t="shared" si="0"/>
        <v>1</v>
      </c>
    </row>
    <row r="7" spans="1:9" ht="45" x14ac:dyDescent="0.25">
      <c r="A7" s="80"/>
      <c r="B7" s="43" t="s">
        <v>44</v>
      </c>
      <c r="C7" s="27" t="s">
        <v>74</v>
      </c>
      <c r="D7" s="27" t="s">
        <v>51</v>
      </c>
      <c r="E7" s="2" t="s">
        <v>40</v>
      </c>
      <c r="F7" s="15">
        <v>10507500</v>
      </c>
      <c r="G7" s="10" t="s">
        <v>41</v>
      </c>
      <c r="H7" s="15">
        <v>10507500</v>
      </c>
      <c r="I7" s="78">
        <f>IF(H7=F7, 1, 0)</f>
        <v>1</v>
      </c>
    </row>
    <row r="8" spans="1:9" ht="60" x14ac:dyDescent="0.25">
      <c r="A8" s="47" t="s">
        <v>36</v>
      </c>
      <c r="B8" s="43" t="s">
        <v>7</v>
      </c>
      <c r="C8" s="27" t="s">
        <v>74</v>
      </c>
      <c r="D8" s="27" t="s">
        <v>52</v>
      </c>
      <c r="E8" s="2" t="s">
        <v>42</v>
      </c>
      <c r="F8" s="15">
        <v>150</v>
      </c>
      <c r="G8" s="10" t="s">
        <v>43</v>
      </c>
      <c r="H8" s="15">
        <v>150</v>
      </c>
      <c r="I8" s="78">
        <f>IF(H8=F8, 1, 0)</f>
        <v>1</v>
      </c>
    </row>
  </sheetData>
  <mergeCells count="2">
    <mergeCell ref="A6:A7"/>
    <mergeCell ref="A2:A4"/>
  </mergeCells>
  <conditionalFormatting sqref="I2:I8">
    <cfRule type="colorScale" priority="1">
      <colorScale>
        <cfvo type="num" val="0"/>
        <cfvo type="num" val="1"/>
        <color rgb="FFC0000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2E7F-D745-460C-BC7E-F1F4861CC942}">
  <dimension ref="A1:J9"/>
  <sheetViews>
    <sheetView topLeftCell="A3" zoomScaleNormal="100" workbookViewId="0">
      <selection activeCell="C2" sqref="C2"/>
    </sheetView>
  </sheetViews>
  <sheetFormatPr defaultRowHeight="15" x14ac:dyDescent="0.25"/>
  <cols>
    <col min="1" max="1" width="13.42578125" style="4" bestFit="1" customWidth="1"/>
    <col min="2" max="2" width="16.5703125" style="4" bestFit="1" customWidth="1"/>
    <col min="3" max="3" width="20.28515625" style="4" customWidth="1"/>
    <col min="4" max="4" width="52.85546875" style="4" bestFit="1" customWidth="1"/>
    <col min="5" max="5" width="109.140625" style="4" customWidth="1"/>
    <col min="6" max="6" width="16.140625" style="4" bestFit="1" customWidth="1"/>
    <col min="7" max="7" width="96.85546875" style="4" customWidth="1"/>
    <col min="8" max="8" width="19.5703125" style="4" bestFit="1" customWidth="1"/>
    <col min="9" max="9" width="6.42578125" style="4" bestFit="1" customWidth="1"/>
    <col min="10" max="16384" width="9.140625" style="4"/>
  </cols>
  <sheetData>
    <row r="1" spans="1:10" x14ac:dyDescent="0.25">
      <c r="A1" s="19" t="s">
        <v>23</v>
      </c>
      <c r="B1" s="17" t="s">
        <v>0</v>
      </c>
      <c r="C1" s="18" t="s">
        <v>71</v>
      </c>
      <c r="D1" s="17" t="s">
        <v>22</v>
      </c>
      <c r="E1" s="17" t="s">
        <v>1</v>
      </c>
      <c r="F1" s="18" t="s">
        <v>18</v>
      </c>
      <c r="G1" s="17" t="s">
        <v>17</v>
      </c>
      <c r="H1" s="18" t="s">
        <v>19</v>
      </c>
      <c r="I1" s="17" t="s">
        <v>2</v>
      </c>
    </row>
    <row r="2" spans="1:10" ht="90" x14ac:dyDescent="0.25">
      <c r="A2" s="82" t="s">
        <v>30</v>
      </c>
      <c r="B2" s="16" t="s">
        <v>10</v>
      </c>
      <c r="C2" s="38" t="s">
        <v>74</v>
      </c>
      <c r="D2" s="23" t="s">
        <v>63</v>
      </c>
      <c r="E2" s="23" t="s">
        <v>141</v>
      </c>
      <c r="F2" s="33">
        <v>600</v>
      </c>
      <c r="G2" s="9" t="s">
        <v>26</v>
      </c>
      <c r="H2" s="33">
        <v>600</v>
      </c>
      <c r="I2" s="78">
        <f>IF(H2=F2, 1, 0)</f>
        <v>1</v>
      </c>
      <c r="J2" s="28"/>
    </row>
    <row r="3" spans="1:10" ht="345" x14ac:dyDescent="0.25">
      <c r="A3" s="83"/>
      <c r="B3" s="31" t="s">
        <v>9</v>
      </c>
      <c r="C3" s="39" t="s">
        <v>75</v>
      </c>
      <c r="D3" s="29" t="s">
        <v>64</v>
      </c>
      <c r="E3" s="29" t="s">
        <v>144</v>
      </c>
      <c r="F3" s="34">
        <v>150</v>
      </c>
      <c r="G3" s="29" t="s">
        <v>53</v>
      </c>
      <c r="H3" s="34">
        <v>150</v>
      </c>
      <c r="I3" s="78">
        <f t="shared" ref="I3:I9" si="0">IF(H3=F3, 1, 0)</f>
        <v>1</v>
      </c>
    </row>
    <row r="4" spans="1:10" ht="67.5" customHeight="1" x14ac:dyDescent="0.25">
      <c r="A4" s="82" t="s">
        <v>31</v>
      </c>
      <c r="B4" s="16" t="s">
        <v>8</v>
      </c>
      <c r="C4" s="38" t="s">
        <v>76</v>
      </c>
      <c r="D4" s="23" t="s">
        <v>65</v>
      </c>
      <c r="E4" s="23" t="s">
        <v>142</v>
      </c>
      <c r="F4" s="33">
        <v>2250000</v>
      </c>
      <c r="G4" s="23" t="s">
        <v>143</v>
      </c>
      <c r="H4" s="33">
        <v>2250000</v>
      </c>
      <c r="I4" s="78">
        <f t="shared" si="0"/>
        <v>1</v>
      </c>
    </row>
    <row r="5" spans="1:10" ht="45" x14ac:dyDescent="0.25">
      <c r="A5" s="84"/>
      <c r="B5" s="32" t="s">
        <v>11</v>
      </c>
      <c r="C5" s="28" t="s">
        <v>76</v>
      </c>
      <c r="D5" s="30" t="s">
        <v>66</v>
      </c>
      <c r="E5" s="22" t="s">
        <v>54</v>
      </c>
      <c r="F5" s="35">
        <v>1579500000</v>
      </c>
      <c r="G5" s="30" t="s">
        <v>58</v>
      </c>
      <c r="H5" s="35">
        <v>1579500000</v>
      </c>
      <c r="I5" s="78">
        <f t="shared" si="0"/>
        <v>1</v>
      </c>
    </row>
    <row r="6" spans="1:10" ht="49.5" customHeight="1" x14ac:dyDescent="0.25">
      <c r="A6" s="84"/>
      <c r="B6" s="32" t="s">
        <v>12</v>
      </c>
      <c r="C6" s="28" t="s">
        <v>76</v>
      </c>
      <c r="D6" s="30" t="s">
        <v>67</v>
      </c>
      <c r="E6" s="22" t="s">
        <v>55</v>
      </c>
      <c r="F6" s="35">
        <v>1575000000</v>
      </c>
      <c r="G6" s="30" t="s">
        <v>59</v>
      </c>
      <c r="H6" s="35">
        <v>1575000000</v>
      </c>
      <c r="I6" s="78">
        <f t="shared" si="0"/>
        <v>1</v>
      </c>
    </row>
    <row r="7" spans="1:10" ht="51.75" customHeight="1" x14ac:dyDescent="0.25">
      <c r="A7" s="83"/>
      <c r="B7" s="31" t="s">
        <v>13</v>
      </c>
      <c r="C7" s="39" t="s">
        <v>76</v>
      </c>
      <c r="D7" s="29" t="s">
        <v>68</v>
      </c>
      <c r="E7" s="21" t="s">
        <v>56</v>
      </c>
      <c r="F7" s="34">
        <v>1577250000</v>
      </c>
      <c r="G7" s="29" t="s">
        <v>60</v>
      </c>
      <c r="H7" s="34">
        <v>1577250000</v>
      </c>
      <c r="I7" s="78">
        <f t="shared" si="0"/>
        <v>1</v>
      </c>
    </row>
    <row r="8" spans="1:10" ht="65.25" customHeight="1" x14ac:dyDescent="0.25">
      <c r="A8" s="82" t="s">
        <v>32</v>
      </c>
      <c r="B8" s="16" t="s">
        <v>14</v>
      </c>
      <c r="C8" s="38" t="s">
        <v>76</v>
      </c>
      <c r="D8" s="23" t="s">
        <v>69</v>
      </c>
      <c r="E8" s="20" t="s">
        <v>57</v>
      </c>
      <c r="F8" s="33">
        <v>1572750000</v>
      </c>
      <c r="G8" s="23" t="s">
        <v>61</v>
      </c>
      <c r="H8" s="33">
        <v>1572750000</v>
      </c>
      <c r="I8" s="78">
        <f t="shared" si="0"/>
        <v>1</v>
      </c>
    </row>
    <row r="9" spans="1:10" ht="150" x14ac:dyDescent="0.25">
      <c r="A9" s="83"/>
      <c r="B9" s="31" t="s">
        <v>15</v>
      </c>
      <c r="C9" s="39" t="s">
        <v>77</v>
      </c>
      <c r="D9" s="29" t="s">
        <v>70</v>
      </c>
      <c r="E9" s="29" t="s">
        <v>140</v>
      </c>
      <c r="F9" s="36">
        <v>0.1</v>
      </c>
      <c r="G9" s="29" t="s">
        <v>62</v>
      </c>
      <c r="H9" s="36">
        <v>0.1</v>
      </c>
      <c r="I9" s="78">
        <f t="shared" si="0"/>
        <v>1</v>
      </c>
    </row>
  </sheetData>
  <mergeCells count="3">
    <mergeCell ref="A2:A3"/>
    <mergeCell ref="A4:A7"/>
    <mergeCell ref="A8:A9"/>
  </mergeCells>
  <conditionalFormatting sqref="I2:I9">
    <cfRule type="colorScale" priority="1">
      <colorScale>
        <cfvo type="num" val="0"/>
        <cfvo type="num" val="1"/>
        <color rgb="FFC0000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0F72-5D3F-4B87-97B3-AF203E055314}">
  <dimension ref="A1:O17"/>
  <sheetViews>
    <sheetView tabSelected="1" zoomScale="135" zoomScaleNormal="135" workbookViewId="0">
      <selection activeCell="G24" sqref="G24"/>
    </sheetView>
  </sheetViews>
  <sheetFormatPr defaultRowHeight="15" x14ac:dyDescent="0.25"/>
  <cols>
    <col min="1" max="1" width="15" style="4" bestFit="1" customWidth="1"/>
    <col min="2" max="2" width="12.42578125" style="4" bestFit="1" customWidth="1"/>
    <col min="3" max="3" width="12.7109375" style="4" bestFit="1" customWidth="1"/>
    <col min="4" max="4" width="9.85546875" style="4" bestFit="1" customWidth="1"/>
    <col min="5" max="5" width="2.85546875" style="4" customWidth="1"/>
    <col min="6" max="6" width="11.28515625" style="4" bestFit="1" customWidth="1"/>
    <col min="7" max="7" width="12.42578125" style="4" bestFit="1" customWidth="1"/>
    <col min="8" max="8" width="11.7109375" style="4" bestFit="1" customWidth="1"/>
    <col min="9" max="9" width="9.42578125" style="4" bestFit="1" customWidth="1"/>
    <col min="10" max="10" width="2" style="4" customWidth="1"/>
    <col min="11" max="11" width="27.7109375" style="4" bestFit="1" customWidth="1"/>
    <col min="12" max="12" width="20.140625" style="4" bestFit="1" customWidth="1"/>
    <col min="13" max="14" width="16.5703125" style="4" bestFit="1" customWidth="1"/>
    <col min="15" max="15" width="6.42578125" style="4" bestFit="1" customWidth="1"/>
    <col min="16" max="16384" width="9.140625" style="4"/>
  </cols>
  <sheetData>
    <row r="1" spans="1:15" ht="15" customHeight="1" x14ac:dyDescent="0.25">
      <c r="A1" s="89" t="s">
        <v>78</v>
      </c>
      <c r="B1" s="90"/>
      <c r="C1" s="90"/>
      <c r="D1" s="91"/>
      <c r="F1" s="92" t="s">
        <v>84</v>
      </c>
      <c r="G1" s="93"/>
      <c r="H1" s="93"/>
      <c r="I1" s="94"/>
      <c r="K1" s="5" t="s">
        <v>86</v>
      </c>
      <c r="L1" s="63" t="s">
        <v>0</v>
      </c>
      <c r="M1" s="16" t="s">
        <v>121</v>
      </c>
      <c r="N1" s="16" t="s">
        <v>122</v>
      </c>
      <c r="O1" s="16" t="s">
        <v>2</v>
      </c>
    </row>
    <row r="2" spans="1:15" x14ac:dyDescent="0.25">
      <c r="A2" s="50" t="s">
        <v>79</v>
      </c>
      <c r="B2" s="51" t="s">
        <v>82</v>
      </c>
      <c r="C2" s="51" t="s">
        <v>145</v>
      </c>
      <c r="D2" s="52" t="s">
        <v>83</v>
      </c>
      <c r="F2" s="19" t="s">
        <v>85</v>
      </c>
      <c r="G2" s="37" t="s">
        <v>81</v>
      </c>
      <c r="H2" s="37" t="s">
        <v>145</v>
      </c>
      <c r="I2" s="61" t="s">
        <v>123</v>
      </c>
      <c r="K2" s="88" t="s">
        <v>88</v>
      </c>
      <c r="L2" s="17" t="s">
        <v>3</v>
      </c>
      <c r="M2" s="20">
        <v>11</v>
      </c>
      <c r="N2" s="53">
        <v>11</v>
      </c>
      <c r="O2" s="64">
        <f>IF(M2=N2,1,0)</f>
        <v>1</v>
      </c>
    </row>
    <row r="3" spans="1:15" x14ac:dyDescent="0.25">
      <c r="A3" s="53" t="s">
        <v>89</v>
      </c>
      <c r="B3" s="54" t="s">
        <v>101</v>
      </c>
      <c r="C3" s="54" t="s">
        <v>113</v>
      </c>
      <c r="D3" s="55">
        <v>10000000</v>
      </c>
      <c r="F3" s="53" t="s">
        <v>124</v>
      </c>
      <c r="G3" s="54" t="s">
        <v>99</v>
      </c>
      <c r="H3" s="54" t="s">
        <v>131</v>
      </c>
      <c r="I3" s="55">
        <v>300000</v>
      </c>
      <c r="K3" s="86"/>
      <c r="L3" s="44" t="s">
        <v>4</v>
      </c>
      <c r="M3" s="22">
        <v>1</v>
      </c>
      <c r="N3" s="56">
        <v>1</v>
      </c>
      <c r="O3" s="65">
        <f t="shared" ref="O3:O15" si="0">IF(M3=N3,1,0)</f>
        <v>1</v>
      </c>
    </row>
    <row r="4" spans="1:15" x14ac:dyDescent="0.25">
      <c r="A4" s="56" t="s">
        <v>90</v>
      </c>
      <c r="B4" s="4" t="s">
        <v>102</v>
      </c>
      <c r="C4" s="4" t="s">
        <v>111</v>
      </c>
      <c r="D4" s="57">
        <v>8500000</v>
      </c>
      <c r="F4" s="56" t="s">
        <v>125</v>
      </c>
      <c r="G4" s="4" t="s">
        <v>100</v>
      </c>
      <c r="H4" s="4" t="s">
        <v>131</v>
      </c>
      <c r="I4" s="57">
        <v>1250000</v>
      </c>
      <c r="K4" s="86"/>
      <c r="L4" s="46" t="s">
        <v>5</v>
      </c>
      <c r="M4" s="21">
        <v>5</v>
      </c>
      <c r="N4" s="58">
        <v>5</v>
      </c>
      <c r="O4" s="66">
        <f t="shared" si="0"/>
        <v>1</v>
      </c>
    </row>
    <row r="5" spans="1:15" x14ac:dyDescent="0.25">
      <c r="A5" s="56" t="s">
        <v>91</v>
      </c>
      <c r="B5" s="4" t="s">
        <v>103</v>
      </c>
      <c r="C5" s="4" t="s">
        <v>112</v>
      </c>
      <c r="D5" s="57">
        <v>5000000</v>
      </c>
      <c r="F5" s="56" t="s">
        <v>126</v>
      </c>
      <c r="G5" s="4" t="s">
        <v>119</v>
      </c>
      <c r="H5" s="4" t="s">
        <v>132</v>
      </c>
      <c r="I5" s="57">
        <v>600000</v>
      </c>
      <c r="K5" s="86"/>
      <c r="L5" s="45" t="s">
        <v>6</v>
      </c>
      <c r="M5" s="68">
        <f>5/11</f>
        <v>0.45454545454545453</v>
      </c>
      <c r="N5" s="69">
        <f>5/11</f>
        <v>0.45454545454545453</v>
      </c>
      <c r="O5" s="67">
        <f t="shared" si="0"/>
        <v>1</v>
      </c>
    </row>
    <row r="6" spans="1:15" x14ac:dyDescent="0.25">
      <c r="A6" s="56" t="s">
        <v>92</v>
      </c>
      <c r="B6" s="4" t="s">
        <v>104</v>
      </c>
      <c r="C6" s="4" t="s">
        <v>114</v>
      </c>
      <c r="D6" s="57">
        <v>3500000</v>
      </c>
      <c r="F6" s="56" t="s">
        <v>127</v>
      </c>
      <c r="G6" s="4" t="s">
        <v>120</v>
      </c>
      <c r="H6" s="4" t="s">
        <v>131</v>
      </c>
      <c r="I6" s="57">
        <v>350000</v>
      </c>
      <c r="K6" s="86"/>
      <c r="L6" s="17" t="s">
        <v>45</v>
      </c>
      <c r="M6" s="72">
        <f>SUM(I12:I16)</f>
        <v>61900000</v>
      </c>
      <c r="N6" s="75">
        <v>61900000</v>
      </c>
      <c r="O6" s="64">
        <f t="shared" si="0"/>
        <v>1</v>
      </c>
    </row>
    <row r="7" spans="1:15" x14ac:dyDescent="0.25">
      <c r="A7" s="56" t="s">
        <v>93</v>
      </c>
      <c r="B7" s="4" t="s">
        <v>105</v>
      </c>
      <c r="C7" s="4" t="s">
        <v>112</v>
      </c>
      <c r="D7" s="57">
        <v>24000000</v>
      </c>
      <c r="F7" s="56" t="s">
        <v>128</v>
      </c>
      <c r="G7" s="4" t="s">
        <v>130</v>
      </c>
      <c r="H7" s="4" t="s">
        <v>133</v>
      </c>
      <c r="I7" s="57">
        <v>750000</v>
      </c>
      <c r="K7" s="86"/>
      <c r="L7" s="46" t="s">
        <v>44</v>
      </c>
      <c r="M7" s="74">
        <f>AVERAGE(I12:I16)</f>
        <v>12380000</v>
      </c>
      <c r="N7" s="77">
        <v>12380000</v>
      </c>
      <c r="O7" s="66">
        <f t="shared" si="0"/>
        <v>1</v>
      </c>
    </row>
    <row r="8" spans="1:15" x14ac:dyDescent="0.25">
      <c r="A8" s="56" t="s">
        <v>94</v>
      </c>
      <c r="B8" s="4" t="s">
        <v>106</v>
      </c>
      <c r="C8" s="4" t="s">
        <v>115</v>
      </c>
      <c r="D8" s="57">
        <v>15000000</v>
      </c>
      <c r="F8" s="58" t="s">
        <v>129</v>
      </c>
      <c r="G8" s="59" t="s">
        <v>130</v>
      </c>
      <c r="H8" s="59" t="s">
        <v>136</v>
      </c>
      <c r="I8" s="60">
        <v>700000</v>
      </c>
      <c r="K8" s="87"/>
      <c r="L8" s="45" t="s">
        <v>7</v>
      </c>
      <c r="M8" s="62">
        <v>1</v>
      </c>
      <c r="N8" s="48">
        <v>1</v>
      </c>
      <c r="O8" s="67">
        <f t="shared" si="0"/>
        <v>1</v>
      </c>
    </row>
    <row r="9" spans="1:15" x14ac:dyDescent="0.25">
      <c r="A9" s="56" t="s">
        <v>95</v>
      </c>
      <c r="B9" s="4" t="s">
        <v>107</v>
      </c>
      <c r="C9" s="4" t="s">
        <v>112</v>
      </c>
      <c r="D9" s="57">
        <v>13000000</v>
      </c>
      <c r="K9" s="86" t="s">
        <v>87</v>
      </c>
      <c r="L9" s="32" t="s">
        <v>10</v>
      </c>
      <c r="M9" s="22">
        <v>5</v>
      </c>
      <c r="N9" s="56">
        <v>5</v>
      </c>
      <c r="O9" s="65">
        <f t="shared" si="0"/>
        <v>1</v>
      </c>
    </row>
    <row r="10" spans="1:15" x14ac:dyDescent="0.25">
      <c r="A10" s="56" t="s">
        <v>96</v>
      </c>
      <c r="B10" s="4" t="s">
        <v>108</v>
      </c>
      <c r="C10" s="4" t="s">
        <v>114</v>
      </c>
      <c r="D10" s="57">
        <v>5500000</v>
      </c>
      <c r="F10" s="92" t="s">
        <v>80</v>
      </c>
      <c r="G10" s="93"/>
      <c r="H10" s="93"/>
      <c r="I10" s="94"/>
      <c r="K10" s="86"/>
      <c r="L10" s="31" t="s">
        <v>9</v>
      </c>
      <c r="M10" s="21">
        <f>COUNTIF(H12:H16, "ACTIVE")</f>
        <v>1</v>
      </c>
      <c r="N10" s="58">
        <v>1</v>
      </c>
      <c r="O10" s="66">
        <f t="shared" si="0"/>
        <v>1</v>
      </c>
    </row>
    <row r="11" spans="1:15" x14ac:dyDescent="0.25">
      <c r="A11" s="56" t="s">
        <v>97</v>
      </c>
      <c r="B11" s="4" t="s">
        <v>109</v>
      </c>
      <c r="C11" s="4" t="s">
        <v>115</v>
      </c>
      <c r="D11" s="57">
        <v>10000000</v>
      </c>
      <c r="F11" s="19" t="s">
        <v>81</v>
      </c>
      <c r="G11" s="37" t="s">
        <v>79</v>
      </c>
      <c r="H11" s="37" t="s">
        <v>145</v>
      </c>
      <c r="I11" s="61" t="s">
        <v>83</v>
      </c>
      <c r="K11" s="86"/>
      <c r="L11" s="16" t="s">
        <v>8</v>
      </c>
      <c r="M11" s="72">
        <f>M12-M14</f>
        <v>1300000</v>
      </c>
      <c r="N11" s="75">
        <v>1300000</v>
      </c>
      <c r="O11" s="64">
        <f t="shared" si="0"/>
        <v>1</v>
      </c>
    </row>
    <row r="12" spans="1:15" x14ac:dyDescent="0.25">
      <c r="A12" s="56" t="s">
        <v>98</v>
      </c>
      <c r="B12" s="4" t="s">
        <v>110</v>
      </c>
      <c r="C12" s="4" t="s">
        <v>112</v>
      </c>
      <c r="D12" s="57">
        <v>7500000</v>
      </c>
      <c r="F12" s="53" t="s">
        <v>99</v>
      </c>
      <c r="G12" s="54" t="s">
        <v>91</v>
      </c>
      <c r="H12" s="54" t="s">
        <v>116</v>
      </c>
      <c r="I12" s="55">
        <v>5000000</v>
      </c>
      <c r="K12" s="86"/>
      <c r="L12" s="32" t="s">
        <v>11</v>
      </c>
      <c r="M12" s="73">
        <f>SUM(I3:I4,I6)</f>
        <v>1900000</v>
      </c>
      <c r="N12" s="76">
        <v>1900000</v>
      </c>
      <c r="O12" s="65">
        <f t="shared" si="0"/>
        <v>1</v>
      </c>
    </row>
    <row r="13" spans="1:15" x14ac:dyDescent="0.25">
      <c r="A13" s="58" t="s">
        <v>134</v>
      </c>
      <c r="B13" s="59" t="s">
        <v>135</v>
      </c>
      <c r="C13" s="59" t="s">
        <v>112</v>
      </c>
      <c r="D13" s="60">
        <v>12400000</v>
      </c>
      <c r="F13" s="56" t="s">
        <v>100</v>
      </c>
      <c r="G13" s="4" t="s">
        <v>93</v>
      </c>
      <c r="H13" s="4" t="s">
        <v>117</v>
      </c>
      <c r="I13" s="57">
        <v>24000000</v>
      </c>
      <c r="K13" s="86"/>
      <c r="L13" s="32" t="s">
        <v>12</v>
      </c>
      <c r="M13" s="73">
        <f>SUM(I8)</f>
        <v>700000</v>
      </c>
      <c r="N13" s="76">
        <v>700000</v>
      </c>
      <c r="O13" s="65">
        <f t="shared" si="0"/>
        <v>1</v>
      </c>
    </row>
    <row r="14" spans="1:15" x14ac:dyDescent="0.25">
      <c r="F14" s="56" t="s">
        <v>119</v>
      </c>
      <c r="G14" s="4" t="s">
        <v>95</v>
      </c>
      <c r="H14" s="4" t="s">
        <v>118</v>
      </c>
      <c r="I14" s="57">
        <v>13000000</v>
      </c>
      <c r="K14" s="86"/>
      <c r="L14" s="31" t="s">
        <v>13</v>
      </c>
      <c r="M14" s="74">
        <f>SUM(I5)</f>
        <v>600000</v>
      </c>
      <c r="N14" s="77">
        <v>600000</v>
      </c>
      <c r="O14" s="66">
        <f t="shared" si="0"/>
        <v>1</v>
      </c>
    </row>
    <row r="15" spans="1:15" x14ac:dyDescent="0.25">
      <c r="A15" s="82" t="s">
        <v>137</v>
      </c>
      <c r="B15" s="85"/>
      <c r="F15" s="56" t="s">
        <v>120</v>
      </c>
      <c r="G15" s="4" t="s">
        <v>98</v>
      </c>
      <c r="H15" s="4" t="s">
        <v>114</v>
      </c>
      <c r="I15" s="57">
        <v>7500000</v>
      </c>
      <c r="K15" s="86"/>
      <c r="L15" s="16" t="s">
        <v>14</v>
      </c>
      <c r="M15" s="72">
        <f>SUM(I7)</f>
        <v>750000</v>
      </c>
      <c r="N15" s="75">
        <v>750000</v>
      </c>
      <c r="O15" s="64">
        <f t="shared" si="0"/>
        <v>1</v>
      </c>
    </row>
    <row r="16" spans="1:15" x14ac:dyDescent="0.25">
      <c r="A16" s="50" t="s">
        <v>138</v>
      </c>
      <c r="B16" s="52" t="s">
        <v>81</v>
      </c>
      <c r="F16" s="58" t="s">
        <v>130</v>
      </c>
      <c r="G16" s="59" t="s">
        <v>134</v>
      </c>
      <c r="H16" s="59" t="s">
        <v>116</v>
      </c>
      <c r="I16" s="60">
        <v>12400000</v>
      </c>
      <c r="K16" s="87"/>
      <c r="L16" s="31" t="s">
        <v>15</v>
      </c>
      <c r="M16" s="70">
        <f>1/5</f>
        <v>0.2</v>
      </c>
      <c r="N16" s="71">
        <v>0.2</v>
      </c>
      <c r="O16" s="66">
        <f>IF(M16=N16,1,0)</f>
        <v>1</v>
      </c>
    </row>
    <row r="17" spans="1:2" x14ac:dyDescent="0.25">
      <c r="A17" s="48" t="s">
        <v>139</v>
      </c>
      <c r="B17" s="49" t="s">
        <v>119</v>
      </c>
    </row>
  </sheetData>
  <mergeCells count="6">
    <mergeCell ref="A15:B15"/>
    <mergeCell ref="K9:K16"/>
    <mergeCell ref="K2:K8"/>
    <mergeCell ref="A1:D1"/>
    <mergeCell ref="F10:I10"/>
    <mergeCell ref="F1:I1"/>
  </mergeCells>
  <phoneticPr fontId="3" type="noConversion"/>
  <conditionalFormatting sqref="O2:O16">
    <cfRule type="colorScale" priority="1">
      <colorScale>
        <cfvo type="num" val="0"/>
        <cfvo type="num" val="1"/>
        <color rgb="FFC00000"/>
        <color theme="9" tint="-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 Sale Dashboard</vt:lpstr>
      <vt:lpstr>Operational Dashboard</vt:lpstr>
      <vt:lpstr>Sample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Phạm</dc:creator>
  <cp:lastModifiedBy>Quân Phạm</cp:lastModifiedBy>
  <dcterms:created xsi:type="dcterms:W3CDTF">2026-06-12T05:46:39Z</dcterms:created>
  <dcterms:modified xsi:type="dcterms:W3CDTF">2026-06-15T07:50:20Z</dcterms:modified>
</cp:coreProperties>
</file>